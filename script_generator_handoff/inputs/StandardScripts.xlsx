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124226"/>
  <xr:revisionPtr revIDLastSave="0" documentId="8_{5255D47D-2D0B-4543-9F77-C8512A4FD39D}" xr6:coauthVersionLast="47" xr6:coauthVersionMax="47" xr10:uidLastSave="{00000000-0000-0000-0000-000000000000}"/>
  <bookViews>
    <workbookView xWindow="30555" yWindow="2235" windowWidth="23025" windowHeight="12225" tabRatio="632" firstSheet="10" activeTab="16" xr2:uid="{A43DC8C3-F706-4FC8-B39A-939F42C4452D}"/>
  </bookViews>
  <sheets>
    <sheet name="STACKER START" sheetId="38" r:id="rId1"/>
    <sheet name="NEW FILE" sheetId="26" r:id="rId2"/>
    <sheet name="Safe Start" sheetId="39" r:id="rId3"/>
    <sheet name="Acc Break In" sheetId="40" r:id="rId4"/>
    <sheet name="Shorting-5point" sheetId="41" r:id="rId5"/>
    <sheet name="Gen II RHS" sheetId="42" r:id="rId6"/>
    <sheet name="HAD - GAMRY" sheetId="43" r:id="rId7"/>
    <sheet name="Break In" sheetId="17" r:id="rId8"/>
    <sheet name="Voltage Recovery" sheetId="44" r:id="rId9"/>
    <sheet name="O2" sheetId="19" r:id="rId10"/>
    <sheet name="FCPM" sheetId="32" r:id="rId11"/>
    <sheet name="Wet FCPM" sheetId="33" r:id="rId12"/>
    <sheet name="LowPqual" sheetId="29" r:id="rId13"/>
    <sheet name="Gen2pt2" sheetId="46" r:id="rId14"/>
    <sheet name="Dry FCPMqual" sheetId="30" r:id="rId15"/>
    <sheet name="Shutdown" sheetId="34" r:id="rId16"/>
    <sheet name="Anode HAD" sheetId="4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45" l="1"/>
  <c r="D40" i="30"/>
  <c r="D41" i="30"/>
  <c r="B42" i="30"/>
  <c r="B43" i="30"/>
  <c r="B44" i="30"/>
  <c r="B45" i="30"/>
  <c r="B46" i="30"/>
  <c r="B47" i="30"/>
  <c r="B48" i="30"/>
  <c r="C84" i="30"/>
  <c r="D96" i="30"/>
  <c r="C111" i="30"/>
  <c r="D42" i="46"/>
  <c r="N42" i="46"/>
  <c r="O42" i="46"/>
  <c r="P42" i="46"/>
  <c r="Q42" i="46"/>
  <c r="R42" i="46"/>
  <c r="B43" i="46"/>
  <c r="N43" i="46"/>
  <c r="B44" i="46"/>
  <c r="N44" i="46"/>
  <c r="B45" i="46"/>
  <c r="N45" i="46"/>
  <c r="B46" i="46"/>
  <c r="J46" i="46"/>
  <c r="N46" i="46"/>
  <c r="B47" i="46"/>
  <c r="J47" i="46"/>
  <c r="N47" i="46"/>
  <c r="B48" i="46"/>
  <c r="J48" i="46"/>
  <c r="N48" i="46"/>
  <c r="B49" i="46"/>
  <c r="J49" i="46"/>
  <c r="N49" i="46"/>
  <c r="B50" i="46"/>
  <c r="J50" i="46"/>
  <c r="N50" i="46"/>
  <c r="B51" i="46"/>
  <c r="J51" i="46"/>
  <c r="N51" i="46"/>
  <c r="B52" i="46"/>
  <c r="J52" i="46"/>
  <c r="N52" i="46"/>
  <c r="B53" i="46"/>
  <c r="J53" i="46"/>
  <c r="N53" i="46"/>
  <c r="B54" i="46"/>
  <c r="J54" i="46"/>
  <c r="N54" i="46"/>
  <c r="D109" i="46"/>
  <c r="D129" i="46"/>
  <c r="D148" i="46"/>
  <c r="D167" i="46"/>
  <c r="C183" i="46"/>
  <c r="B42" i="29"/>
  <c r="B43" i="29"/>
  <c r="B44" i="29"/>
  <c r="B45" i="29"/>
  <c r="B46" i="29"/>
  <c r="B47" i="29"/>
  <c r="B48" i="29"/>
  <c r="C84" i="29"/>
  <c r="D96" i="29"/>
  <c r="C111" i="29"/>
  <c r="D40" i="33"/>
  <c r="D41" i="33"/>
  <c r="B43" i="33"/>
  <c r="B44" i="33"/>
  <c r="B45" i="33"/>
  <c r="B46" i="33"/>
  <c r="B47" i="33"/>
  <c r="B48" i="33"/>
  <c r="B49" i="33"/>
  <c r="C104" i="33"/>
  <c r="D116" i="33"/>
  <c r="C131" i="33"/>
  <c r="D40" i="32"/>
  <c r="D41" i="32"/>
  <c r="B43" i="32"/>
  <c r="B44" i="32"/>
  <c r="B45" i="32"/>
  <c r="B46" i="32"/>
  <c r="B47" i="32"/>
  <c r="B48" i="32"/>
  <c r="B49" i="32"/>
  <c r="C104" i="32"/>
  <c r="D116" i="32"/>
  <c r="C131" i="32"/>
  <c r="B39" i="19"/>
  <c r="B40" i="19"/>
  <c r="B41" i="19"/>
  <c r="B42" i="19"/>
  <c r="B43" i="19"/>
  <c r="B44" i="19"/>
  <c r="C89" i="19"/>
  <c r="D101" i="19"/>
  <c r="C116" i="19"/>
  <c r="D35" i="44"/>
  <c r="D36" i="44"/>
  <c r="D37" i="44"/>
  <c r="U41" i="17"/>
  <c r="U42" i="17"/>
  <c r="U43" i="17"/>
  <c r="J37" i="42"/>
  <c r="J38" i="42"/>
  <c r="B40" i="42"/>
  <c r="J40" i="42"/>
  <c r="B41" i="42"/>
  <c r="J41" i="42"/>
  <c r="B42" i="42"/>
  <c r="I42" i="42"/>
  <c r="J42" i="42"/>
  <c r="B43" i="42"/>
  <c r="J43" i="42"/>
  <c r="B44" i="42"/>
  <c r="J44" i="42"/>
  <c r="B45" i="42"/>
  <c r="I45" i="42"/>
  <c r="J45" i="42"/>
  <c r="K45" i="42"/>
  <c r="L45" i="42"/>
  <c r="O45" i="42"/>
  <c r="P45" i="42"/>
  <c r="Q45" i="42"/>
  <c r="B46" i="42"/>
  <c r="J46" i="42"/>
  <c r="B47" i="42"/>
  <c r="J47" i="42"/>
  <c r="B48" i="42"/>
  <c r="I48" i="42"/>
  <c r="J48" i="42"/>
  <c r="K48" i="42"/>
  <c r="L48" i="42"/>
  <c r="N48" i="42"/>
  <c r="O48" i="42"/>
  <c r="Q48" i="42"/>
  <c r="B49" i="42"/>
  <c r="J49" i="42"/>
  <c r="B50" i="42"/>
  <c r="J50" i="42"/>
  <c r="B51" i="42"/>
  <c r="I51" i="42"/>
  <c r="J51" i="42"/>
  <c r="K51" i="42"/>
  <c r="L51" i="42"/>
  <c r="O51" i="42"/>
  <c r="P51" i="42"/>
  <c r="Q51" i="42"/>
  <c r="B52" i="42"/>
  <c r="J52" i="42"/>
  <c r="B53" i="42"/>
  <c r="J53" i="42"/>
  <c r="B54" i="42"/>
  <c r="I54" i="42"/>
  <c r="J54" i="42"/>
  <c r="K54" i="42"/>
  <c r="L54" i="42"/>
  <c r="N54" i="42"/>
  <c r="O54" i="42"/>
  <c r="Q54" i="42"/>
  <c r="B55" i="42"/>
  <c r="J55" i="42"/>
  <c r="B56" i="42"/>
  <c r="J56" i="42"/>
  <c r="B57" i="42"/>
  <c r="I57" i="42"/>
  <c r="J57" i="42"/>
  <c r="K57" i="42"/>
  <c r="L57" i="42"/>
  <c r="O57" i="42"/>
  <c r="P57" i="42"/>
  <c r="Q57" i="42"/>
  <c r="B58" i="42"/>
  <c r="J58" i="42"/>
  <c r="B59" i="42"/>
  <c r="J59" i="42"/>
  <c r="B60" i="42"/>
  <c r="I60" i="42"/>
  <c r="J60" i="42"/>
  <c r="K60" i="42"/>
  <c r="L60" i="42"/>
  <c r="N60" i="42"/>
  <c r="O60" i="42"/>
  <c r="Q60" i="42"/>
  <c r="B61" i="42"/>
  <c r="J61" i="42"/>
  <c r="B62" i="42"/>
  <c r="J62" i="42"/>
  <c r="B63" i="42"/>
  <c r="I63" i="42"/>
  <c r="J63" i="42"/>
  <c r="K63" i="42"/>
  <c r="L63" i="42"/>
  <c r="O63" i="42"/>
  <c r="P63" i="42"/>
  <c r="Q63" i="42"/>
  <c r="B64" i="42"/>
  <c r="J64" i="42"/>
  <c r="B65" i="42"/>
  <c r="J65" i="42"/>
  <c r="B66" i="42"/>
  <c r="I66" i="42"/>
  <c r="J66" i="42"/>
  <c r="K66" i="42"/>
  <c r="L66" i="42"/>
  <c r="N66" i="42"/>
  <c r="O66" i="42"/>
  <c r="Q66" i="42"/>
  <c r="B67" i="42"/>
  <c r="J67" i="42"/>
  <c r="B68" i="42"/>
  <c r="J68" i="42"/>
  <c r="J70" i="42"/>
  <c r="B73" i="42"/>
  <c r="I73" i="42"/>
  <c r="J73" i="42"/>
  <c r="K73" i="42"/>
  <c r="L73" i="42"/>
  <c r="O73" i="42"/>
  <c r="P73" i="42"/>
  <c r="Q73" i="42"/>
  <c r="B74" i="42"/>
  <c r="J74" i="42"/>
  <c r="B75" i="42"/>
  <c r="J75" i="42"/>
  <c r="B76" i="42"/>
  <c r="I76" i="42"/>
  <c r="J76" i="42"/>
  <c r="K76" i="42"/>
  <c r="L76" i="42"/>
  <c r="M76" i="42"/>
  <c r="N76" i="42"/>
  <c r="O76" i="42"/>
  <c r="Q76" i="42"/>
  <c r="B77" i="42"/>
  <c r="J77" i="42"/>
  <c r="B78" i="42"/>
  <c r="J78" i="42"/>
  <c r="B79" i="42"/>
  <c r="I79" i="42"/>
  <c r="J79" i="42"/>
  <c r="K79" i="42"/>
  <c r="L79" i="42"/>
  <c r="O79" i="42"/>
  <c r="P79" i="42"/>
  <c r="Q79" i="42"/>
  <c r="B80" i="42"/>
  <c r="J80" i="42"/>
  <c r="B81" i="42"/>
  <c r="J81" i="42"/>
  <c r="B82" i="42"/>
  <c r="I82" i="42"/>
  <c r="J82" i="42"/>
  <c r="K82" i="42"/>
  <c r="L82" i="42"/>
  <c r="M82" i="42"/>
  <c r="N82" i="42"/>
  <c r="O82" i="42"/>
  <c r="Q82" i="42"/>
  <c r="B83" i="42"/>
  <c r="J83" i="42"/>
  <c r="B84" i="42"/>
  <c r="J84" i="42"/>
  <c r="B85" i="42"/>
  <c r="I85" i="42"/>
  <c r="J85" i="42"/>
  <c r="K85" i="42"/>
  <c r="L85" i="42"/>
  <c r="O85" i="42"/>
  <c r="P85" i="42"/>
  <c r="Q85" i="42"/>
  <c r="B86" i="42"/>
  <c r="J86" i="42"/>
  <c r="B87" i="42"/>
  <c r="J87" i="42"/>
  <c r="B88" i="42"/>
  <c r="I88" i="42"/>
  <c r="J88" i="42"/>
  <c r="K88" i="42"/>
  <c r="L88" i="42"/>
  <c r="M88" i="42"/>
  <c r="N88" i="42"/>
  <c r="O88" i="42"/>
  <c r="Q88" i="42"/>
  <c r="B89" i="42"/>
  <c r="J89" i="42"/>
  <c r="B90" i="42"/>
  <c r="J90" i="42"/>
  <c r="B91" i="42"/>
  <c r="I91" i="42"/>
  <c r="J91" i="42"/>
  <c r="K91" i="42"/>
  <c r="L91" i="42"/>
  <c r="O91" i="42"/>
  <c r="P91" i="42"/>
  <c r="Q91" i="42"/>
  <c r="B92" i="42"/>
  <c r="J92" i="42"/>
  <c r="B93" i="42"/>
  <c r="J93" i="42"/>
  <c r="B94" i="42"/>
  <c r="I94" i="42"/>
  <c r="J94" i="42"/>
  <c r="K94" i="42"/>
  <c r="L94" i="42"/>
  <c r="M94" i="42"/>
  <c r="N94" i="42"/>
  <c r="O94" i="42"/>
  <c r="Q94" i="42"/>
  <c r="B95" i="42"/>
  <c r="J95" i="42"/>
  <c r="B96" i="42"/>
  <c r="J96" i="42"/>
  <c r="B97" i="42"/>
  <c r="I97" i="42"/>
  <c r="J97" i="42"/>
  <c r="K97" i="42"/>
  <c r="L97" i="42"/>
  <c r="O97" i="42"/>
  <c r="P97" i="42"/>
  <c r="Q97" i="42"/>
  <c r="B98" i="42"/>
  <c r="J98" i="42"/>
  <c r="B99" i="42"/>
  <c r="J99" i="42"/>
  <c r="B100" i="42"/>
  <c r="I100" i="42"/>
  <c r="J100" i="42"/>
  <c r="K100" i="42"/>
  <c r="L100" i="42"/>
  <c r="M100" i="42"/>
  <c r="N100" i="42"/>
  <c r="O100" i="42"/>
  <c r="Q100" i="42"/>
  <c r="B101" i="42"/>
  <c r="J101" i="42"/>
  <c r="B102" i="42"/>
  <c r="J102" i="42"/>
  <c r="B55" i="41"/>
  <c r="B56" i="41"/>
  <c r="B57" i="41"/>
  <c r="B58" i="41"/>
  <c r="B59" i="41"/>
  <c r="D40" i="40"/>
  <c r="D41" i="40"/>
  <c r="D39" i="39"/>
</calcChain>
</file>

<file path=xl/sharedStrings.xml><?xml version="1.0" encoding="utf-8"?>
<sst xmlns="http://schemas.openxmlformats.org/spreadsheetml/2006/main" count="3481" uniqueCount="393">
  <si>
    <t>Setup</t>
  </si>
  <si>
    <t>Parameter</t>
  </si>
  <si>
    <t>Tag</t>
  </si>
  <si>
    <t>Section</t>
  </si>
  <si>
    <t>Values</t>
  </si>
  <si>
    <t>Pretest</t>
  </si>
  <si>
    <t>PostTest</t>
  </si>
  <si>
    <t>End</t>
  </si>
  <si>
    <t>Step Type</t>
  </si>
  <si>
    <t>Update</t>
  </si>
  <si>
    <t>*Comment</t>
  </si>
  <si>
    <t>*Duration</t>
  </si>
  <si>
    <t>*Ramp</t>
  </si>
  <si>
    <t>(sec)</t>
  </si>
  <si>
    <t>Off</t>
  </si>
  <si>
    <t>Matrix</t>
  </si>
  <si>
    <t>Logging</t>
  </si>
  <si>
    <t>Duration</t>
  </si>
  <si>
    <t>Volts</t>
  </si>
  <si>
    <t>"electrical load" or "sccm"</t>
  </si>
  <si>
    <t>current density</t>
  </si>
  <si>
    <t>//</t>
  </si>
  <si>
    <t>0-100%</t>
  </si>
  <si>
    <t>kPa</t>
  </si>
  <si>
    <t>On</t>
  </si>
  <si>
    <t>Logger_Rate_(Sec)</t>
  </si>
  <si>
    <t>Load On or Off</t>
  </si>
  <si>
    <t>*PostStep Script</t>
  </si>
  <si>
    <t>Script Name</t>
  </si>
  <si>
    <t>Component</t>
  </si>
  <si>
    <t>PostStep</t>
  </si>
  <si>
    <t>PostStep Name</t>
  </si>
  <si>
    <t>Wait Til</t>
  </si>
  <si>
    <t>AND</t>
  </si>
  <si>
    <t>Condition</t>
  </si>
  <si>
    <t>GE</t>
  </si>
  <si>
    <t>Startup:  Set load bank to 0.6V</t>
  </si>
  <si>
    <t>Flow: A/cm2</t>
  </si>
  <si>
    <t>Startup: Wait at 0.6V constant stoich until stable</t>
  </si>
  <si>
    <t>"automatic", "vent", "manual"</t>
  </si>
  <si>
    <t>Startup Complete</t>
  </si>
  <si>
    <t>LE</t>
  </si>
  <si>
    <t>EQ</t>
  </si>
  <si>
    <t>"On" or "Off"</t>
  </si>
  <si>
    <t>Purge</t>
  </si>
  <si>
    <t>MODE</t>
  </si>
  <si>
    <t>OR</t>
  </si>
  <si>
    <t>VCell And Avg</t>
  </si>
  <si>
    <t>OFF</t>
  </si>
  <si>
    <t>Drain_Enable_ON</t>
  </si>
  <si>
    <t>Prompt</t>
  </si>
  <si>
    <t>Vcell</t>
  </si>
  <si>
    <r>
      <t>Change conditions: 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; 100%RH; 80°C; 150/150 kPa</t>
    </r>
    <r>
      <rPr>
        <vertAlign val="subscript"/>
        <sz val="10"/>
        <rFont val="Times New Roman"/>
        <family val="1"/>
      </rPr>
      <t>abs</t>
    </r>
  </si>
  <si>
    <t xml:space="preserve">    Open Circuit - 30 seconds</t>
  </si>
  <si>
    <t xml:space="preserve">    Open Circuit - 30 seconds (Dry)</t>
  </si>
  <si>
    <t>180s Hold</t>
  </si>
  <si>
    <t>Warm-Up</t>
  </si>
  <si>
    <t>Warm-Up - 40°C; 100%RH</t>
  </si>
  <si>
    <t>Warm-Up - 60°C; 100%RH</t>
  </si>
  <si>
    <t>°C</t>
  </si>
  <si>
    <t>timeout after 2 hours</t>
  </si>
  <si>
    <t>LE=less than or equal, GE=greater than or equal, EQ=equal</t>
  </si>
  <si>
    <t>AND=wait for all tags to meet condition, OR= wait for one tag to meet condition</t>
  </si>
  <si>
    <t>Avg 1 min at 1 sec</t>
  </si>
  <si>
    <t>SS-FCPM - OCV</t>
  </si>
  <si>
    <t>SS-Wet-FCPM - OCV</t>
  </si>
  <si>
    <t>SS-LowP - OCV</t>
  </si>
  <si>
    <t>SS-Dry-FCPM - OCV</t>
  </si>
  <si>
    <t>v</t>
  </si>
  <si>
    <t>c</t>
  </si>
  <si>
    <t>Edit</t>
  </si>
  <si>
    <t>FCPM</t>
  </si>
  <si>
    <t>Break In</t>
  </si>
  <si>
    <t>0.40 A/cm² - 4 minutes</t>
  </si>
  <si>
    <t>0.05 A/cm² - 3 minutes</t>
  </si>
  <si>
    <t>0.60 A/cm² - 4 minutes</t>
  </si>
  <si>
    <r>
      <t>0.05 A/cm²</t>
    </r>
    <r>
      <rPr>
        <vertAlign val="superscript"/>
        <sz val="10"/>
        <rFont val="Times New Roman"/>
        <family val="1"/>
      </rPr>
      <t xml:space="preserve">  </t>
    </r>
    <r>
      <rPr>
        <sz val="10"/>
        <rFont val="Times New Roman"/>
        <family val="1"/>
      </rPr>
      <t>- 3 minutes</t>
    </r>
  </si>
  <si>
    <t>0.80 A/cm² - 4 minutes</t>
  </si>
  <si>
    <t>1.00 A/cm² - 4 minutes</t>
  </si>
  <si>
    <t>1.20 A/cm² - 4 minutes</t>
  </si>
  <si>
    <r>
      <t xml:space="preserve">    0.05 A/cm²</t>
    </r>
    <r>
      <rPr>
        <vertAlign val="superscript"/>
        <sz val="10"/>
        <rFont val="Times New Roman"/>
        <family val="1"/>
      </rPr>
      <t xml:space="preserve">  </t>
    </r>
    <r>
      <rPr>
        <sz val="10"/>
        <rFont val="Times New Roman"/>
        <family val="1"/>
      </rPr>
      <t>- 3 minutes</t>
    </r>
  </si>
  <si>
    <t xml:space="preserve">    1.50 A/cm² - 4 minutes</t>
  </si>
  <si>
    <r>
      <t xml:space="preserve">    0.05 A/cm²</t>
    </r>
    <r>
      <rPr>
        <vertAlign val="superscript"/>
        <sz val="10"/>
        <rFont val="Times New Roman"/>
        <family val="1"/>
      </rPr>
      <t xml:space="preserve">  </t>
    </r>
    <r>
      <rPr>
        <sz val="10"/>
        <rFont val="Times New Roman"/>
        <family val="1"/>
      </rPr>
      <t>- 3 minutes (Dry)</t>
    </r>
  </si>
  <si>
    <t xml:space="preserve">    1.50 A/cm² - 4 minutes (Dry)</t>
  </si>
  <si>
    <r>
      <t xml:space="preserve">    0.05 A/cm²</t>
    </r>
    <r>
      <rPr>
        <vertAlign val="superscript"/>
        <sz val="10"/>
        <rFont val="Times New Roman"/>
        <family val="1"/>
      </rPr>
      <t xml:space="preserve"> </t>
    </r>
    <r>
      <rPr>
        <sz val="10"/>
        <rFont val="Times New Roman"/>
        <family val="1"/>
      </rPr>
      <t>- 3 minutes</t>
    </r>
  </si>
  <si>
    <t>"V" or "C"</t>
  </si>
  <si>
    <t>Break-In: 4.1 Hours</t>
  </si>
  <si>
    <t>Oxygen Polarization curve, 100% RH; 80C; 150 kPa - 1.55 Hours</t>
  </si>
  <si>
    <t>Conditional</t>
  </si>
  <si>
    <t>IF</t>
  </si>
  <si>
    <t>V</t>
  </si>
  <si>
    <t>THEN</t>
  </si>
  <si>
    <t>ON</t>
  </si>
  <si>
    <t>O2</t>
  </si>
  <si>
    <t>O2 - 0.900 Volts</t>
  </si>
  <si>
    <r>
      <t>SS-FCPM: 80°C, 32%RH, 150 kPa</t>
    </r>
    <r>
      <rPr>
        <vertAlign val="subscript"/>
        <sz val="10"/>
        <rFont val="Times New Roman"/>
        <family val="1"/>
      </rPr>
      <t>abs</t>
    </r>
    <r>
      <rPr>
        <sz val="10"/>
        <rFont val="Times New Roman"/>
        <family val="1"/>
      </rPr>
      <t xml:space="preserve"> - 0.850V</t>
    </r>
  </si>
  <si>
    <t>Wait Til Settled</t>
  </si>
  <si>
    <t>Stable</t>
  </si>
  <si>
    <t>Tag Value</t>
  </si>
  <si>
    <t>Setpoint</t>
  </si>
  <si>
    <t>Range</t>
  </si>
  <si>
    <t>Set Time</t>
  </si>
  <si>
    <t>hfr_ao_frequency</t>
  </si>
  <si>
    <t>HFR Frequency (Hz)</t>
  </si>
  <si>
    <t>Wait Till Stable</t>
  </si>
  <si>
    <r>
      <t>SS-Wet-FCPM: 80°C, 100%RH, 170 kPa</t>
    </r>
    <r>
      <rPr>
        <vertAlign val="subscript"/>
        <sz val="10"/>
        <rFont val="Times New Roman"/>
        <family val="1"/>
      </rPr>
      <t>abs</t>
    </r>
    <r>
      <rPr>
        <sz val="10"/>
        <rFont val="Times New Roman"/>
        <family val="1"/>
      </rPr>
      <t xml:space="preserve"> - 0.850V</t>
    </r>
  </si>
  <si>
    <r>
      <t>SS-LowP: 80°C, 40%RH, 110 kPa</t>
    </r>
    <r>
      <rPr>
        <vertAlign val="subscript"/>
        <sz val="10"/>
        <rFont val="Times New Roman"/>
        <family val="1"/>
      </rPr>
      <t>abs</t>
    </r>
    <r>
      <rPr>
        <sz val="10"/>
        <rFont val="Times New Roman"/>
        <family val="1"/>
      </rPr>
      <t xml:space="preserve"> - 0.850V</t>
    </r>
  </si>
  <si>
    <r>
      <t>SS-Dry-FCPM: 95°C, 26%RH, 150 kPa</t>
    </r>
    <r>
      <rPr>
        <vertAlign val="subscript"/>
        <sz val="10"/>
        <rFont val="Times New Roman"/>
        <family val="1"/>
      </rPr>
      <t>abs</t>
    </r>
    <r>
      <rPr>
        <sz val="10"/>
        <rFont val="Times New Roman"/>
        <family val="1"/>
      </rPr>
      <t xml:space="preserve"> - 0.850V</t>
    </r>
  </si>
  <si>
    <t>Transition</t>
  </si>
  <si>
    <t>Break In Finished</t>
  </si>
  <si>
    <t>TEMP_SPLIT_ENBL</t>
  </si>
  <si>
    <t>Split Temp Control</t>
  </si>
  <si>
    <t>Warm-Up - 80°C; 100%RH; 150 kPa</t>
  </si>
  <si>
    <t>Wait For Temps</t>
  </si>
  <si>
    <t>CHANGE STAND, make drain enable a tag and remove mech switch</t>
  </si>
  <si>
    <t>For CountB = $CountB to 5</t>
  </si>
  <si>
    <t>For CountC = $CountC to 3</t>
  </si>
  <si>
    <t>For CountA = $CountA to 10</t>
  </si>
  <si>
    <t>Next CountA</t>
  </si>
  <si>
    <t>Next CountB</t>
  </si>
  <si>
    <t>Next CountC</t>
  </si>
  <si>
    <t>C</t>
  </si>
  <si>
    <t>Wait for Reduction</t>
  </si>
  <si>
    <r>
      <t>Transition Step: 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/Air @ 0.700 Volts</t>
    </r>
  </si>
  <si>
    <t>Cathode Reduction: Stop Cathode Flow, Wait for V &lt;= 0.100</t>
  </si>
  <si>
    <t>Safety: An-Cat Diff P</t>
  </si>
  <si>
    <t>For</t>
  </si>
  <si>
    <t>Count</t>
  </si>
  <si>
    <t>=</t>
  </si>
  <si>
    <t>to</t>
  </si>
  <si>
    <t>step</t>
  </si>
  <si>
    <t>48 Loops x 5 Seconds per Loop = 240 Seconds</t>
  </si>
  <si>
    <t>Next</t>
  </si>
  <si>
    <t>LB_MODE</t>
  </si>
  <si>
    <t>CELL_AREA</t>
  </si>
  <si>
    <t>LB_ENBL</t>
  </si>
  <si>
    <t>LB_VOLTAGE_SP</t>
  </si>
  <si>
    <t>LB_CURRENT_DENSITY_SP</t>
  </si>
  <si>
    <t>C_N2_PCT_SP</t>
  </si>
  <si>
    <t>C_O2_PCT_SP</t>
  </si>
  <si>
    <t>CURRENT_DENSITY_FLOW_EQUIV</t>
  </si>
  <si>
    <t>ANODE_STOICH_SP</t>
  </si>
  <si>
    <t>CATHODE_STOICH_SP</t>
  </si>
  <si>
    <t>TEMP_CELL_SP</t>
  </si>
  <si>
    <t>$TEMP_CELL_SP</t>
  </si>
  <si>
    <t>TEMP_ANODE_HUMIDITY_REQ</t>
  </si>
  <si>
    <t>TEMP_CATHODE_HUMIDITY_REQ</t>
  </si>
  <si>
    <t>BP_AN_PRESSURE_REQ</t>
  </si>
  <si>
    <t>BP_CAT_PRESSURE_REQ</t>
  </si>
  <si>
    <t>ANODE_FLOW_REQ</t>
  </si>
  <si>
    <t>CATHODE_FLOW_REQ</t>
  </si>
  <si>
    <t>FLOW_CONTROL</t>
  </si>
  <si>
    <t>BP_CATHODE_PRESSURE_TRACKING</t>
  </si>
  <si>
    <t>BP_ENBL</t>
  </si>
  <si>
    <t>ANODE_HUMIDIFIER_BYPASS</t>
  </si>
  <si>
    <t>CATHODE_HUMIDIFIER_BYPASS</t>
  </si>
  <si>
    <t>Safety_LB_VOLTAGE_FB_WarnActive</t>
  </si>
  <si>
    <t>Safety_LB_VOLTAGE_FB_LoLo</t>
  </si>
  <si>
    <t>Safety_LB_VOLTAGE_FB_StopActive</t>
  </si>
  <si>
    <t>$TEMP_ANODE_HUMIDITY_SP</t>
  </si>
  <si>
    <t>$TEMP_CATHODE_HUMIDITY_SP</t>
  </si>
  <si>
    <t>TEMP_CELL_FB</t>
  </si>
  <si>
    <t>TEMP_ANODE_SAT_FB</t>
  </si>
  <si>
    <t>TEMP_CATHODE_SAT_FB</t>
  </si>
  <si>
    <t>LB_VOLTAGE_FB</t>
  </si>
  <si>
    <t>CELL_NUMBER</t>
  </si>
  <si>
    <t>MATRIX_COMMENT</t>
  </si>
  <si>
    <t>A_H2_PCT_SP</t>
  </si>
  <si>
    <t>Load Equivalent</t>
  </si>
  <si>
    <t>Load Equiv</t>
  </si>
  <si>
    <t>MS_Create_New_File</t>
  </si>
  <si>
    <t>Cell Number</t>
  </si>
  <si>
    <t>Set Cell Area, HFR Frequency, and Filename</t>
  </si>
  <si>
    <t>Cell Area (cm²)</t>
  </si>
  <si>
    <t>dummy</t>
  </si>
  <si>
    <t>$dummy</t>
  </si>
  <si>
    <t>MICRO</t>
  </si>
  <si>
    <t>STAND_EN</t>
  </si>
  <si>
    <t>BP_OUTLET_PRESSURE_CONTROL</t>
  </si>
  <si>
    <t>ON = Outlet Control, OFF = Inlet Control</t>
  </si>
  <si>
    <t>SLPM</t>
  </si>
  <si>
    <t>Cool Down and shutdown</t>
  </si>
  <si>
    <t>"v" or "c"</t>
  </si>
  <si>
    <t>deg C</t>
  </si>
  <si>
    <t>kPa (abs)</t>
  </si>
  <si>
    <t>Shutdown:  OC the load</t>
  </si>
  <si>
    <t>Shutdown:  vent</t>
  </si>
  <si>
    <t>Shutdown:  stop flows</t>
  </si>
  <si>
    <t>Shutdown:  turn off heaters</t>
  </si>
  <si>
    <t>manual</t>
  </si>
  <si>
    <t>AVG_MINS</t>
  </si>
  <si>
    <t>PROTOCOL_NAME</t>
  </si>
  <si>
    <t>$MATRIX_WORKSHEET</t>
  </si>
  <si>
    <t>SUMMARY_BOOL</t>
  </si>
  <si>
    <t>AVG_SAVE</t>
  </si>
  <si>
    <t>CSV_Log_Rate</t>
  </si>
  <si>
    <t>1 second logging for averaging macro</t>
  </si>
  <si>
    <t>Write an average row, goes back number of minutes specified in AVG_MINS</t>
  </si>
  <si>
    <t>Make sure your low voltage safeties are at least 0.1 V below this value!!!</t>
  </si>
  <si>
    <t>Set in pretest</t>
  </si>
  <si>
    <t>shouldn't need - MS_Close_File will work if CSV is not stand alone</t>
  </si>
  <si>
    <t>MS_Save_Now</t>
  </si>
  <si>
    <t>CSV_Save_Now</t>
  </si>
  <si>
    <t>higher stoic for O2 curve than Air curves to get (approximately) the same flow rate</t>
  </si>
  <si>
    <t>Estop</t>
  </si>
  <si>
    <t>MANUAL</t>
  </si>
  <si>
    <t>AW_HUMIDIFIER_DRAIN</t>
  </si>
  <si>
    <t>CW_HUMIDIFIER_DRAIN</t>
  </si>
  <si>
    <t>Safety_Enable_All_Stops</t>
  </si>
  <si>
    <t>Start-up</t>
  </si>
  <si>
    <t>slpm</t>
  </si>
  <si>
    <t>hfr_ao_amplitude</t>
  </si>
  <si>
    <t>ELSE</t>
  </si>
  <si>
    <t>mA peak-peak</t>
  </si>
  <si>
    <t>CountA</t>
  </si>
  <si>
    <t>CountB</t>
  </si>
  <si>
    <t>CountC</t>
  </si>
  <si>
    <t>WARN</t>
  </si>
  <si>
    <t>CLICK TO SHUT DOWN</t>
  </si>
  <si>
    <t>Pressure Warning - Check Absolute Senors</t>
  </si>
  <si>
    <t>"MANUAL" or "LOAD EQUIVALENT" or "CONSTANT STOICH"</t>
  </si>
  <si>
    <t>Safety_LB_VOLTAGE_FB_HiHi</t>
  </si>
  <si>
    <t>Safe Air Start-Up: N2 Purge, Mitigated H2 Introduction</t>
  </si>
  <si>
    <t>Safe Air Start: Purge with N2</t>
  </si>
  <si>
    <t>N2 Purge and Start</t>
  </si>
  <si>
    <t>Safe Air Start: 0.850 V Trans; 40C; 100% RH; 110 kPa</t>
  </si>
  <si>
    <t>Ramp</t>
  </si>
  <si>
    <t>LOAD EQUIVALENT</t>
  </si>
  <si>
    <t>Accel Break-In: 75C; 150%/150%RH; 220kPa; 0.65 - 0.10 V Cycles</t>
  </si>
  <si>
    <t>Acc Break In: Transition from Start-Up</t>
  </si>
  <si>
    <t>Acc Break In: Warm-Up, Humidify and Ramp to 0.65 V</t>
  </si>
  <si>
    <t>Ramp T and RH</t>
  </si>
  <si>
    <t>Acc Break In: Ramp Pressure</t>
  </si>
  <si>
    <t>Ramp P</t>
  </si>
  <si>
    <t>Acc Break In: 0.65 - 0.10 V Cycles</t>
  </si>
  <si>
    <t>V Cycles</t>
  </si>
  <si>
    <t>Acc Break In: 1.5 - 2.0 Acm2 Cycles</t>
  </si>
  <si>
    <t>Load Cycles</t>
  </si>
  <si>
    <t>Acc Break In: 0.850 V Trans; 70C; 65% RH; 150 kPa</t>
  </si>
  <si>
    <t>$LB_VOLTAGE_SP - 0.05</t>
  </si>
  <si>
    <t>ABI_NOW</t>
  </si>
  <si>
    <t>Safety_LB_VOLTAGE_FB_Lo</t>
  </si>
  <si>
    <t>Acc Break In: Trans to LV</t>
  </si>
  <si>
    <t>ABI_PREVIOUS</t>
  </si>
  <si>
    <t>$ABI_NOW</t>
  </si>
  <si>
    <t>Acc Break In: LV</t>
  </si>
  <si>
    <t>Acc Break In: Trans to HV</t>
  </si>
  <si>
    <t>Acc Break In: HV</t>
  </si>
  <si>
    <t>Acc Break In: Check Perf Gain</t>
  </si>
  <si>
    <t>$ABI_NOW + $LB_CURRENT_FB</t>
  </si>
  <si>
    <t>$ABI_NOW / 10</t>
  </si>
  <si>
    <t>ABI_DELTA</t>
  </si>
  <si>
    <t>$ABI_NOW - $ABI_PREVIOUS</t>
  </si>
  <si>
    <t>While</t>
  </si>
  <si>
    <t>&gt;</t>
  </si>
  <si>
    <t>Acc Break In: Trans to 0.75 V</t>
  </si>
  <si>
    <t>Acc Break In: Trans to 2 Acm2</t>
  </si>
  <si>
    <t>Acc Break In: 2 Acm2</t>
  </si>
  <si>
    <t>Acc Break In: Trans to 1.5 Acm2</t>
  </si>
  <si>
    <t>Acc Break In: 1.5 Acm2</t>
  </si>
  <si>
    <t>$ABI_NOW + $LB_VOLTAGE_FB</t>
  </si>
  <si>
    <t>Acc Break In: Trans to 0.85 V</t>
  </si>
  <si>
    <t>gamrySave</t>
  </si>
  <si>
    <t>gamrySaveFilePath</t>
  </si>
  <si>
    <t>C:\Testdata</t>
  </si>
  <si>
    <t>gamrySaveByCycle</t>
  </si>
  <si>
    <t>gamryWaveformRate</t>
  </si>
  <si>
    <t>gamryCaSpeed</t>
  </si>
  <si>
    <t>Fast</t>
  </si>
  <si>
    <t>gamryIeStability</t>
  </si>
  <si>
    <t>gamryIchFilter</t>
  </si>
  <si>
    <t>5 Hz</t>
  </si>
  <si>
    <t>gamryVchFilter</t>
  </si>
  <si>
    <t>Safety_AW_FLOAT_FB_StopActive</t>
  </si>
  <si>
    <t>Safety_CW_FLOAT_FB_StopActive</t>
  </si>
  <si>
    <t>FILL_DISABLE</t>
  </si>
  <si>
    <t>Pre-Condition</t>
  </si>
  <si>
    <t>PreConditioning - 0.7V - 40°C - 100%RH - 150 kPa</t>
  </si>
  <si>
    <t>PreCondition</t>
  </si>
  <si>
    <t>Turn Humidifier Drain Off and Fill Disable On - 40C Testing Only</t>
  </si>
  <si>
    <t>Purge for Shorting Test - 15min</t>
  </si>
  <si>
    <t>Shorting Test</t>
  </si>
  <si>
    <t>Shorting:  Condition Stabilization 1</t>
  </si>
  <si>
    <t>ShortingMeas_Fixed_V</t>
  </si>
  <si>
    <t>Shorting:  Condition Stabilization 2</t>
  </si>
  <si>
    <t>Turn Humidifier Drain On and Fill Disable Off</t>
  </si>
  <si>
    <t>Wait for Fill</t>
  </si>
  <si>
    <t>SET PRECONDITION FLOWS</t>
  </si>
  <si>
    <t>ENABLE LOAD BANK</t>
  </si>
  <si>
    <t>WAIT FOR TEMP &lt; 55C</t>
  </si>
  <si>
    <t>DROP RH TO 122%</t>
  </si>
  <si>
    <t>WAIT FOR TEMP &lt; 45C</t>
  </si>
  <si>
    <t>5 MIN HOLD @ 40C, 122% RH</t>
  </si>
  <si>
    <t>DISABLE LOAD BANK</t>
  </si>
  <si>
    <t>SET-UP HAD CONDITIONS</t>
  </si>
  <si>
    <t>PURGE SMALL MFC</t>
  </si>
  <si>
    <t>PURGE MEDIUM MFC</t>
  </si>
  <si>
    <t>PURGE BYPASS</t>
  </si>
  <si>
    <t>PURGE LARGE MFC</t>
  </si>
  <si>
    <t>SET HAD FLOWS</t>
  </si>
  <si>
    <t>gamrySignalType</t>
  </si>
  <si>
    <t>Single Point</t>
  </si>
  <si>
    <t>gamryDcOffset</t>
  </si>
  <si>
    <t>gamryStartStop</t>
  </si>
  <si>
    <t>Turn OFF Gamry</t>
  </si>
  <si>
    <t>AW_FLOAT_FB</t>
  </si>
  <si>
    <t>CW_FLOAT_FB</t>
  </si>
  <si>
    <t>"ON" or "OFF"</t>
  </si>
  <si>
    <t>Gen II RH Sweep</t>
  </si>
  <si>
    <t>Gen II RH Sweep - 0.850 V Stabilization Point BoT</t>
  </si>
  <si>
    <t>Gen II RH Sweep - 60C Cathode Reduction</t>
  </si>
  <si>
    <t>Ca Reduction</t>
  </si>
  <si>
    <t>55C Section</t>
  </si>
  <si>
    <t>Perf Hold</t>
  </si>
  <si>
    <t>Ramp HCD</t>
  </si>
  <si>
    <t>Transition to 85C</t>
  </si>
  <si>
    <t>Gen II RH Sweep - 85C Cathode Reduction</t>
  </si>
  <si>
    <t>85C Section</t>
  </si>
  <si>
    <t>Standard 0.850 V Trans - 70C - 65% RH - 150 kPa</t>
  </si>
  <si>
    <t>Manual</t>
  </si>
  <si>
    <t>Off = Humidified; On = Dry</t>
  </si>
  <si>
    <t>Medium Fast</t>
  </si>
  <si>
    <t>C:\Testdata\</t>
  </si>
  <si>
    <t>gamrySaveFileName</t>
  </si>
  <si>
    <t>CathodeHAD</t>
  </si>
  <si>
    <t>gamryFromFilePath</t>
  </si>
  <si>
    <t>C:\Documents and Settings\user\Desktop\Max Protection Profile.txt</t>
  </si>
  <si>
    <t>Triangle</t>
  </si>
  <si>
    <t>gamryCycles</t>
  </si>
  <si>
    <t>gamryInitial</t>
  </si>
  <si>
    <t>gamryFinal</t>
  </si>
  <si>
    <t>gamryScanRate</t>
  </si>
  <si>
    <t>V/sec</t>
  </si>
  <si>
    <t>samples (and updates)/sec</t>
  </si>
  <si>
    <t>On/Off</t>
  </si>
  <si>
    <t>Startup: 30C cell, RH = 90% to cool down humidifiers</t>
  </si>
  <si>
    <t>Purge Large Perfomance Micro MFC (NOT NECESSARY? Already purging above)</t>
  </si>
  <si>
    <t>Purge Large MFC</t>
  </si>
  <si>
    <t>Purge Cathode Bypass</t>
  </si>
  <si>
    <t>Purge Small MFC</t>
  </si>
  <si>
    <t>Run Cathode HAD</t>
  </si>
  <si>
    <t>HAD</t>
  </si>
  <si>
    <t>sec</t>
  </si>
  <si>
    <t>gamryRunning</t>
  </si>
  <si>
    <t>Recovery Step: Air; 40C; 100%/100%RH; 150kPa</t>
  </si>
  <si>
    <t>0.850 V:  Avoid High Current (in case O2 used in previous step)</t>
  </si>
  <si>
    <t>0.600 V:  10 Minute Stabilization</t>
  </si>
  <si>
    <t>Recovery Step:  1 Hour at 0.100 V, 40°C, 150/150% RH, 150/150 kPa</t>
  </si>
  <si>
    <t>DoWhile</t>
  </si>
  <si>
    <t>Loop</t>
  </si>
  <si>
    <t>BP_AN_OUTLET_PRESSURE_FB</t>
  </si>
  <si>
    <t>BP_CAT_OUTLET_PRESSURE_FB</t>
  </si>
  <si>
    <t>BP_AnCat_Differential_Pressure</t>
  </si>
  <si>
    <t>Cell Info</t>
  </si>
  <si>
    <t>Cathode HAD Complete</t>
  </si>
  <si>
    <t>MUST PURGE BOTH SIDES before switching gasses</t>
  </si>
  <si>
    <t>AnodeHAD</t>
  </si>
  <si>
    <t>Gas Swap En</t>
  </si>
  <si>
    <t>Cathode A/B Select</t>
  </si>
  <si>
    <t>Purge Anode Bypass</t>
  </si>
  <si>
    <t>Run Anode HAD</t>
  </si>
  <si>
    <t>Post HAD N2/N2 Purge</t>
  </si>
  <si>
    <t>M</t>
  </si>
  <si>
    <t>Lower Flows</t>
  </si>
  <si>
    <t>Exhaust back to normal</t>
  </si>
  <si>
    <t>C_H2_MED_EN</t>
  </si>
  <si>
    <t>C_H2_MED_SP</t>
  </si>
  <si>
    <t>Switch Gasses and Exhaust:  N2 on Anode, H2 on Cathode</t>
  </si>
  <si>
    <t>Startup: 30C cell: N2 Both Sides</t>
  </si>
  <si>
    <t>Hz</t>
  </si>
  <si>
    <t>I may want to make this conditional - only write the avg if the cell voltage &gt; 0.2</t>
  </si>
  <si>
    <t>VCell And HFR</t>
  </si>
  <si>
    <t>Gen2.2 - 0.02 A/cm² - 1000 Hz HFR</t>
  </si>
  <si>
    <t>Gen2.2 - 0.02 A/cm² - 3000 Hz HFR</t>
  </si>
  <si>
    <t>Gen2.2 - 0.02 A/cm² - 6000 Hz HFR</t>
  </si>
  <si>
    <t>Gen2.2 - 0.02 A/cm² - 10000 Hz HFR</t>
  </si>
  <si>
    <r>
      <t>Gen2.2: 80°C, 32%RH, 150 kPa</t>
    </r>
    <r>
      <rPr>
        <vertAlign val="subscript"/>
        <sz val="9"/>
        <rFont val="Courier New"/>
        <family val="3"/>
      </rPr>
      <t>abs</t>
    </r>
    <r>
      <rPr>
        <sz val="9"/>
        <rFont val="Courier New"/>
        <family val="3"/>
      </rPr>
      <t xml:space="preserve"> - 0.850V</t>
    </r>
  </si>
  <si>
    <t>DummyString</t>
  </si>
  <si>
    <t>$MATRIX_COMMENT</t>
  </si>
  <si>
    <t>Coolant Out Temp</t>
  </si>
  <si>
    <t>Coolant DT</t>
  </si>
  <si>
    <t>cool_out</t>
  </si>
  <si>
    <t>Cool_dT</t>
  </si>
  <si>
    <t>[°C]</t>
  </si>
  <si>
    <t>$DummyString +  - 1000 Hz HFR</t>
  </si>
  <si>
    <t>$DummyString +  - 3000 Hz HFR</t>
  </si>
  <si>
    <t>$DummyString +  - 6000 Hz HFR</t>
  </si>
  <si>
    <t>$DummyString +  - 10000 Hz HFR</t>
  </si>
  <si>
    <t>Gen2pt2</t>
  </si>
  <si>
    <t>VAR_LB_CURRENT_DENSITY_SP</t>
  </si>
  <si>
    <t>$VAR_LB_CURRENT_DENSITY_SP</t>
  </si>
  <si>
    <t>gamryCtrlMode</t>
  </si>
  <si>
    <t>Potentiostat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</si>
</sst>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4" x14ac:knownFonts="1">
    <font>
      <sz val="10"/>
      <name val="Arial"/>
    </font>
    <font>
      <b/>
      <i/>
      <sz val="12"/>
      <color indexed="17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color indexed="10"/>
      <name val="Times New Roman"/>
      <family val="1"/>
    </font>
    <font>
      <sz val="10"/>
      <color indexed="8"/>
      <name val="Times New Roman"/>
      <family val="1"/>
    </font>
    <font>
      <b/>
      <i/>
      <sz val="10"/>
      <color indexed="17"/>
      <name val="Times New Roman"/>
      <family val="1"/>
    </font>
    <font>
      <b/>
      <sz val="10"/>
      <color indexed="12"/>
      <name val="Times New Roman"/>
      <family val="1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Times New Roman"/>
      <family val="1"/>
    </font>
    <font>
      <b/>
      <sz val="10"/>
      <color indexed="17"/>
      <name val="Times New Roman"/>
      <family val="1"/>
    </font>
    <font>
      <sz val="10"/>
      <color indexed="9"/>
      <name val="Times New Roman"/>
      <family val="1"/>
    </font>
    <font>
      <b/>
      <sz val="10"/>
      <color indexed="9"/>
      <name val="Times New Roman"/>
      <family val="1"/>
    </font>
    <font>
      <b/>
      <sz val="10"/>
      <color indexed="10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color indexed="17"/>
      <name val="Times New Roman"/>
      <family val="1"/>
    </font>
    <font>
      <sz val="9"/>
      <name val="Courier New"/>
      <family val="3"/>
    </font>
    <font>
      <b/>
      <sz val="9"/>
      <name val="Courier New"/>
      <family val="3"/>
    </font>
    <font>
      <i/>
      <sz val="9"/>
      <name val="Courier New"/>
      <family val="3"/>
    </font>
    <font>
      <sz val="9"/>
      <color indexed="8"/>
      <name val="Courier New"/>
      <family val="3"/>
    </font>
    <font>
      <b/>
      <i/>
      <sz val="9"/>
      <color indexed="17"/>
      <name val="Courier New"/>
      <family val="3"/>
    </font>
    <font>
      <sz val="9"/>
      <color indexed="17"/>
      <name val="Courier New"/>
      <family val="3"/>
    </font>
    <font>
      <vertAlign val="subscript"/>
      <sz val="9"/>
      <name val="Courier New"/>
      <family val="3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i/>
      <sz val="10"/>
      <color rgb="FFFF0000"/>
      <name val="Times New Roman"/>
      <family val="1"/>
    </font>
    <font>
      <sz val="10"/>
      <color rgb="FF0000FF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29" fillId="0" borderId="0"/>
    <xf numFmtId="0" fontId="28" fillId="0" borderId="0"/>
  </cellStyleXfs>
  <cellXfs count="444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3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1" fillId="0" borderId="0" xfId="0" applyFont="1" applyBorder="1" applyAlignment="1"/>
    <xf numFmtId="0" fontId="4" fillId="0" borderId="0" xfId="0" applyFont="1" applyBorder="1" applyAlignment="1">
      <alignment wrapText="1"/>
    </xf>
    <xf numFmtId="1" fontId="2" fillId="0" borderId="0" xfId="0" applyNumberFormat="1" applyFont="1" applyBorder="1" applyAlignment="1"/>
    <xf numFmtId="2" fontId="2" fillId="0" borderId="0" xfId="0" applyNumberFormat="1" applyFont="1" applyBorder="1" applyAlignment="1"/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/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vertical="center"/>
    </xf>
    <xf numFmtId="165" fontId="2" fillId="0" borderId="0" xfId="0" applyNumberFormat="1" applyFont="1" applyBorder="1" applyAlignment="1"/>
    <xf numFmtId="0" fontId="2" fillId="0" borderId="0" xfId="0" applyNumberFormat="1" applyFont="1"/>
    <xf numFmtId="0" fontId="2" fillId="0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5" fontId="2" fillId="0" borderId="0" xfId="0" applyNumberFormat="1" applyFont="1" applyFill="1" applyBorder="1" applyAlignment="1">
      <alignment horizontal="right"/>
    </xf>
    <xf numFmtId="0" fontId="6" fillId="0" borderId="0" xfId="0" applyFont="1" applyBorder="1"/>
    <xf numFmtId="0" fontId="2" fillId="3" borderId="0" xfId="0" applyFont="1" applyFill="1" applyBorder="1" applyAlignment="1"/>
    <xf numFmtId="0" fontId="3" fillId="4" borderId="0" xfId="0" applyFont="1" applyFill="1" applyBorder="1" applyAlignment="1"/>
    <xf numFmtId="0" fontId="2" fillId="4" borderId="0" xfId="0" applyFont="1" applyFill="1" applyBorder="1" applyAlignment="1"/>
    <xf numFmtId="0" fontId="2" fillId="4" borderId="0" xfId="0" applyFont="1" applyFill="1" applyBorder="1" applyAlignment="1">
      <alignment horizontal="right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3" fillId="6" borderId="0" xfId="0" applyFont="1" applyFill="1" applyBorder="1" applyAlignment="1"/>
    <xf numFmtId="0" fontId="2" fillId="6" borderId="0" xfId="0" applyFont="1" applyFill="1" applyBorder="1" applyAlignment="1"/>
    <xf numFmtId="165" fontId="2" fillId="6" borderId="0" xfId="0" applyNumberFormat="1" applyFont="1" applyFill="1" applyBorder="1" applyAlignment="1"/>
    <xf numFmtId="0" fontId="2" fillId="6" borderId="0" xfId="0" applyFont="1" applyFill="1" applyBorder="1" applyAlignment="1">
      <alignment horizontal="right"/>
    </xf>
    <xf numFmtId="0" fontId="2" fillId="6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1" fontId="2" fillId="7" borderId="0" xfId="0" applyNumberFormat="1" applyFont="1" applyFill="1" applyBorder="1" applyAlignment="1">
      <alignment horizontal="center"/>
    </xf>
    <xf numFmtId="165" fontId="2" fillId="7" borderId="0" xfId="0" applyNumberFormat="1" applyFont="1" applyFill="1" applyBorder="1" applyAlignment="1">
      <alignment horizontal="center"/>
    </xf>
    <xf numFmtId="2" fontId="2" fillId="7" borderId="0" xfId="0" applyNumberFormat="1" applyFont="1" applyFill="1" applyBorder="1" applyAlignment="1">
      <alignment horizontal="center"/>
    </xf>
    <xf numFmtId="0" fontId="2" fillId="7" borderId="0" xfId="0" applyNumberFormat="1" applyFont="1" applyFill="1" applyBorder="1" applyAlignment="1">
      <alignment horizontal="center"/>
    </xf>
    <xf numFmtId="0" fontId="2" fillId="7" borderId="0" xfId="0" applyFont="1" applyFill="1" applyBorder="1" applyAlignment="1"/>
    <xf numFmtId="2" fontId="2" fillId="7" borderId="0" xfId="0" applyNumberFormat="1" applyFont="1" applyFill="1" applyBorder="1" applyAlignment="1"/>
    <xf numFmtId="0" fontId="3" fillId="4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1" fontId="2" fillId="5" borderId="0" xfId="0" applyNumberFormat="1" applyFont="1" applyFill="1" applyBorder="1" applyAlignment="1">
      <alignment horizontal="center"/>
    </xf>
    <xf numFmtId="165" fontId="2" fillId="5" borderId="0" xfId="0" applyNumberFormat="1" applyFont="1" applyFill="1" applyBorder="1" applyAlignment="1">
      <alignment horizontal="center"/>
    </xf>
    <xf numFmtId="2" fontId="2" fillId="5" borderId="0" xfId="0" applyNumberFormat="1" applyFont="1" applyFill="1" applyBorder="1" applyAlignment="1">
      <alignment horizontal="center"/>
    </xf>
    <xf numFmtId="0" fontId="2" fillId="5" borderId="0" xfId="0" applyNumberFormat="1" applyFont="1" applyFill="1" applyBorder="1" applyAlignment="1">
      <alignment horizontal="center"/>
    </xf>
    <xf numFmtId="2" fontId="2" fillId="5" borderId="0" xfId="0" applyNumberFormat="1" applyFont="1" applyFill="1" applyBorder="1" applyAlignment="1"/>
    <xf numFmtId="0" fontId="2" fillId="3" borderId="0" xfId="0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center"/>
    </xf>
    <xf numFmtId="165" fontId="2" fillId="3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/>
    <xf numFmtId="0" fontId="2" fillId="8" borderId="0" xfId="0" applyFont="1" applyFill="1" applyBorder="1" applyAlignment="1"/>
    <xf numFmtId="0" fontId="2" fillId="8" borderId="0" xfId="0" applyFont="1" applyFill="1" applyBorder="1" applyAlignment="1">
      <alignment horizontal="center"/>
    </xf>
    <xf numFmtId="2" fontId="2" fillId="8" borderId="0" xfId="0" applyNumberFormat="1" applyFont="1" applyFill="1" applyBorder="1" applyAlignment="1"/>
    <xf numFmtId="1" fontId="2" fillId="8" borderId="0" xfId="0" applyNumberFormat="1" applyFont="1" applyFill="1" applyBorder="1" applyAlignment="1">
      <alignment horizontal="center"/>
    </xf>
    <xf numFmtId="165" fontId="2" fillId="8" borderId="0" xfId="0" applyNumberFormat="1" applyFont="1" applyFill="1" applyBorder="1" applyAlignment="1">
      <alignment horizontal="center"/>
    </xf>
    <xf numFmtId="2" fontId="2" fillId="8" borderId="0" xfId="0" applyNumberFormat="1" applyFont="1" applyFill="1" applyBorder="1" applyAlignment="1">
      <alignment horizontal="center"/>
    </xf>
    <xf numFmtId="0" fontId="2" fillId="8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2" fontId="2" fillId="0" borderId="0" xfId="0" applyNumberFormat="1" applyFont="1" applyFill="1" applyBorder="1" applyAlignment="1"/>
    <xf numFmtId="0" fontId="15" fillId="9" borderId="0" xfId="0" applyFont="1" applyFill="1" applyBorder="1" applyAlignment="1">
      <alignment horizontal="center"/>
    </xf>
    <xf numFmtId="0" fontId="16" fillId="9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2" fontId="2" fillId="0" borderId="0" xfId="0" applyNumberFormat="1" applyFont="1" applyBorder="1" applyAlignment="1">
      <alignment horizontal="right"/>
    </xf>
    <xf numFmtId="0" fontId="2" fillId="10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/>
    <xf numFmtId="0" fontId="2" fillId="10" borderId="0" xfId="0" applyFont="1" applyFill="1" applyBorder="1" applyAlignment="1"/>
    <xf numFmtId="165" fontId="2" fillId="10" borderId="0" xfId="0" applyNumberFormat="1" applyFont="1" applyFill="1" applyBorder="1" applyAlignment="1"/>
    <xf numFmtId="0" fontId="0" fillId="0" borderId="0" xfId="0" applyAlignment="1">
      <alignment horizontal="right"/>
    </xf>
    <xf numFmtId="0" fontId="2" fillId="10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right" vertical="center"/>
    </xf>
    <xf numFmtId="2" fontId="2" fillId="2" borderId="0" xfId="0" applyNumberFormat="1" applyFont="1" applyFill="1" applyBorder="1" applyAlignment="1">
      <alignment horizontal="right"/>
    </xf>
    <xf numFmtId="0" fontId="13" fillId="9" borderId="0" xfId="0" applyFont="1" applyFill="1" applyBorder="1" applyAlignment="1">
      <alignment horizontal="center"/>
    </xf>
    <xf numFmtId="0" fontId="13" fillId="9" borderId="0" xfId="0" applyFont="1" applyFill="1" applyBorder="1" applyAlignment="1"/>
    <xf numFmtId="0" fontId="13" fillId="9" borderId="0" xfId="0" applyNumberFormat="1" applyFont="1" applyFill="1" applyBorder="1" applyAlignment="1"/>
    <xf numFmtId="0" fontId="13" fillId="9" borderId="0" xfId="0" applyFont="1" applyFill="1" applyBorder="1" applyAlignment="1">
      <alignment wrapText="1"/>
    </xf>
    <xf numFmtId="0" fontId="13" fillId="9" borderId="0" xfId="0" applyNumberFormat="1" applyFont="1" applyFill="1" applyBorder="1" applyAlignment="1">
      <alignment horizontal="right"/>
    </xf>
    <xf numFmtId="0" fontId="2" fillId="0" borderId="0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2" applyFont="1" applyBorder="1" applyAlignment="1"/>
    <xf numFmtId="0" fontId="3" fillId="0" borderId="0" xfId="2" applyFont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4" fillId="0" borderId="0" xfId="2" applyFont="1" applyBorder="1" applyAlignment="1"/>
    <xf numFmtId="0" fontId="2" fillId="0" borderId="0" xfId="2" applyFont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0" fontId="3" fillId="0" borderId="0" xfId="2" applyFont="1" applyBorder="1" applyAlignment="1">
      <alignment horizontal="center" wrapText="1"/>
    </xf>
    <xf numFmtId="0" fontId="3" fillId="0" borderId="0" xfId="2" applyFont="1" applyBorder="1" applyAlignment="1">
      <alignment wrapText="1"/>
    </xf>
    <xf numFmtId="0" fontId="3" fillId="0" borderId="0" xfId="2" applyFont="1" applyFill="1" applyBorder="1" applyAlignment="1">
      <alignment horizontal="center" wrapText="1"/>
    </xf>
    <xf numFmtId="0" fontId="7" fillId="0" borderId="0" xfId="2" applyFont="1" applyBorder="1" applyAlignment="1">
      <alignment horizontal="center" wrapText="1"/>
    </xf>
    <xf numFmtId="0" fontId="17" fillId="0" borderId="0" xfId="2" applyFont="1" applyBorder="1" applyAlignment="1">
      <alignment wrapText="1"/>
    </xf>
    <xf numFmtId="0" fontId="4" fillId="0" borderId="0" xfId="2" applyFont="1" applyBorder="1" applyAlignment="1">
      <alignment horizontal="center" wrapText="1"/>
    </xf>
    <xf numFmtId="0" fontId="4" fillId="0" borderId="0" xfId="2" applyFont="1" applyFill="1" applyBorder="1" applyAlignment="1">
      <alignment horizontal="center" wrapText="1"/>
    </xf>
    <xf numFmtId="0" fontId="2" fillId="0" borderId="0" xfId="2" applyFont="1" applyFill="1" applyBorder="1" applyAlignment="1"/>
    <xf numFmtId="1" fontId="8" fillId="0" borderId="0" xfId="2" applyNumberFormat="1" applyFont="1" applyBorder="1" applyAlignment="1">
      <alignment horizontal="center"/>
    </xf>
    <xf numFmtId="165" fontId="6" fillId="0" borderId="0" xfId="2" applyNumberFormat="1" applyFont="1" applyBorder="1" applyAlignment="1">
      <alignment horizontal="center"/>
    </xf>
    <xf numFmtId="2" fontId="8" fillId="0" borderId="0" xfId="2" applyNumberFormat="1" applyFont="1" applyBorder="1" applyAlignment="1">
      <alignment horizontal="center"/>
    </xf>
    <xf numFmtId="165" fontId="2" fillId="0" borderId="0" xfId="2" applyNumberFormat="1" applyFont="1" applyBorder="1" applyAlignment="1">
      <alignment horizontal="center"/>
    </xf>
    <xf numFmtId="1" fontId="2" fillId="0" borderId="0" xfId="2" applyNumberFormat="1" applyFont="1" applyBorder="1" applyAlignment="1">
      <alignment horizontal="center"/>
    </xf>
    <xf numFmtId="2" fontId="2" fillId="0" borderId="0" xfId="2" applyNumberFormat="1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2" fillId="0" borderId="0" xfId="2" applyFont="1" applyBorder="1" applyAlignment="1"/>
    <xf numFmtId="0" fontId="2" fillId="0" borderId="0" xfId="2" applyFont="1" applyBorder="1" applyAlignment="1">
      <alignment horizontal="right"/>
    </xf>
    <xf numFmtId="165" fontId="2" fillId="0" borderId="0" xfId="2" applyNumberFormat="1" applyFont="1" applyBorder="1" applyAlignment="1">
      <alignment horizontal="right"/>
    </xf>
    <xf numFmtId="2" fontId="2" fillId="0" borderId="0" xfId="2" applyNumberFormat="1" applyFont="1" applyBorder="1" applyAlignment="1">
      <alignment horizontal="right"/>
    </xf>
    <xf numFmtId="0" fontId="3" fillId="0" borderId="0" xfId="2" applyFont="1" applyFill="1" applyBorder="1" applyAlignment="1"/>
    <xf numFmtId="0" fontId="2" fillId="0" borderId="0" xfId="2" applyFont="1" applyFill="1" applyBorder="1" applyAlignment="1">
      <alignment horizontal="right"/>
    </xf>
    <xf numFmtId="0" fontId="6" fillId="0" borderId="0" xfId="2" applyFont="1" applyBorder="1" applyAlignment="1"/>
    <xf numFmtId="0" fontId="4" fillId="0" borderId="0" xfId="2" applyFont="1" applyBorder="1" applyAlignment="1">
      <alignment horizontal="left"/>
    </xf>
    <xf numFmtId="0" fontId="2" fillId="0" borderId="0" xfId="2" applyFont="1" applyBorder="1" applyAlignment="1">
      <alignment horizontal="center" wrapText="1"/>
    </xf>
    <xf numFmtId="0" fontId="2" fillId="0" borderId="0" xfId="2" applyFont="1" applyFill="1" applyBorder="1" applyAlignment="1">
      <alignment horizontal="center" wrapText="1"/>
    </xf>
    <xf numFmtId="0" fontId="2" fillId="0" borderId="0" xfId="2" applyFont="1" applyBorder="1" applyAlignment="1">
      <alignment horizontal="center" vertical="center" wrapText="1"/>
    </xf>
    <xf numFmtId="0" fontId="7" fillId="0" borderId="0" xfId="2" applyFont="1" applyBorder="1" applyAlignment="1">
      <alignment wrapText="1"/>
    </xf>
    <xf numFmtId="0" fontId="1" fillId="0" borderId="0" xfId="2" applyFont="1" applyBorder="1" applyAlignment="1"/>
    <xf numFmtId="0" fontId="4" fillId="0" borderId="0" xfId="2" applyFont="1" applyBorder="1" applyAlignment="1">
      <alignment wrapText="1"/>
    </xf>
    <xf numFmtId="0" fontId="2" fillId="4" borderId="0" xfId="2" applyFont="1" applyFill="1" applyBorder="1" applyAlignment="1">
      <alignment horizontal="center"/>
    </xf>
    <xf numFmtId="0" fontId="3" fillId="4" borderId="0" xfId="2" applyFont="1" applyFill="1" applyBorder="1" applyAlignment="1"/>
    <xf numFmtId="0" fontId="3" fillId="4" borderId="0" xfId="2" applyFont="1" applyFill="1" applyBorder="1" applyAlignment="1">
      <alignment horizontal="left"/>
    </xf>
    <xf numFmtId="0" fontId="2" fillId="4" borderId="0" xfId="2" applyFont="1" applyFill="1" applyBorder="1" applyAlignment="1"/>
    <xf numFmtId="0" fontId="2" fillId="4" borderId="0" xfId="2" applyFont="1" applyFill="1" applyBorder="1" applyAlignment="1">
      <alignment horizontal="right"/>
    </xf>
    <xf numFmtId="0" fontId="4" fillId="0" borderId="0" xfId="2" applyFont="1" applyFill="1" applyBorder="1" applyAlignment="1"/>
    <xf numFmtId="0" fontId="2" fillId="0" borderId="0" xfId="2" applyNumberFormat="1" applyFont="1" applyBorder="1" applyAlignment="1">
      <alignment horizontal="right"/>
    </xf>
    <xf numFmtId="0" fontId="2" fillId="0" borderId="0" xfId="2" applyFont="1"/>
    <xf numFmtId="0" fontId="2" fillId="0" borderId="0" xfId="8" applyFont="1"/>
    <xf numFmtId="0" fontId="2" fillId="0" borderId="0" xfId="8" applyFont="1" applyAlignment="1">
      <alignment horizontal="center"/>
    </xf>
    <xf numFmtId="0" fontId="2" fillId="0" borderId="0" xfId="8" applyFont="1" applyBorder="1" applyAlignment="1">
      <alignment horizontal="right"/>
    </xf>
    <xf numFmtId="0" fontId="2" fillId="0" borderId="0" xfId="8" applyFont="1" applyBorder="1" applyAlignment="1">
      <alignment horizontal="center"/>
    </xf>
    <xf numFmtId="0" fontId="11" fillId="0" borderId="0" xfId="2"/>
    <xf numFmtId="0" fontId="2" fillId="0" borderId="0" xfId="2" applyFont="1" applyAlignment="1">
      <alignment horizontal="left"/>
    </xf>
    <xf numFmtId="0" fontId="4" fillId="0" borderId="0" xfId="2" applyFont="1"/>
    <xf numFmtId="0" fontId="2" fillId="0" borderId="0" xfId="7" applyFont="1" applyBorder="1" applyAlignment="1"/>
    <xf numFmtId="165" fontId="2" fillId="0" borderId="0" xfId="7" applyNumberFormat="1" applyFont="1" applyBorder="1" applyAlignment="1">
      <alignment horizontal="right"/>
    </xf>
    <xf numFmtId="0" fontId="2" fillId="0" borderId="0" xfId="7" applyFont="1" applyFill="1" applyBorder="1" applyAlignment="1">
      <alignment horizontal="center"/>
    </xf>
    <xf numFmtId="0" fontId="2" fillId="0" borderId="0" xfId="7" applyFont="1" applyBorder="1" applyAlignment="1">
      <alignment horizontal="center" vertical="center"/>
    </xf>
    <xf numFmtId="0" fontId="2" fillId="0" borderId="0" xfId="7" applyFont="1" applyBorder="1" applyAlignment="1">
      <alignment horizontal="right"/>
    </xf>
    <xf numFmtId="0" fontId="2" fillId="0" borderId="0" xfId="7" applyFont="1" applyFill="1" applyBorder="1" applyAlignment="1"/>
    <xf numFmtId="0" fontId="6" fillId="0" borderId="0" xfId="10" applyFont="1" applyBorder="1" applyAlignment="1"/>
    <xf numFmtId="0" fontId="2" fillId="0" borderId="0" xfId="10" applyFont="1" applyBorder="1" applyAlignment="1">
      <alignment horizontal="right"/>
    </xf>
    <xf numFmtId="0" fontId="2" fillId="0" borderId="0" xfId="10" applyFont="1" applyBorder="1" applyAlignment="1"/>
    <xf numFmtId="0" fontId="2" fillId="0" borderId="0" xfId="10" applyFont="1" applyBorder="1" applyAlignment="1">
      <alignment horizontal="center"/>
    </xf>
    <xf numFmtId="0" fontId="2" fillId="0" borderId="0" xfId="8" applyFont="1" applyBorder="1" applyAlignment="1">
      <alignment horizontal="center" wrapText="1"/>
    </xf>
    <xf numFmtId="0" fontId="2" fillId="0" borderId="0" xfId="7" applyFont="1" applyBorder="1" applyAlignment="1">
      <alignment horizontal="center" wrapText="1"/>
    </xf>
    <xf numFmtId="0" fontId="2" fillId="0" borderId="0" xfId="8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2" applyFont="1" applyFill="1" applyBorder="1" applyAlignment="1">
      <alignment horizontal="left"/>
    </xf>
    <xf numFmtId="9" fontId="2" fillId="0" borderId="0" xfId="2" applyNumberFormat="1" applyFont="1" applyFill="1" applyBorder="1" applyAlignment="1">
      <alignment horizontal="left"/>
    </xf>
    <xf numFmtId="0" fontId="2" fillId="0" borderId="0" xfId="2" applyFont="1" applyFill="1" applyBorder="1" applyAlignment="1">
      <alignment horizontal="right" wrapText="1"/>
    </xf>
    <xf numFmtId="0" fontId="2" fillId="0" borderId="0" xfId="2" applyFont="1" applyFill="1" applyBorder="1" applyAlignment="1">
      <alignment horizontal="left" wrapText="1"/>
    </xf>
    <xf numFmtId="2" fontId="2" fillId="0" borderId="0" xfId="2" applyNumberFormat="1" applyFont="1" applyFill="1" applyBorder="1" applyAlignment="1">
      <alignment horizontal="right"/>
    </xf>
    <xf numFmtId="2" fontId="2" fillId="0" borderId="0" xfId="2" applyNumberFormat="1" applyFont="1" applyFill="1" applyBorder="1" applyAlignment="1">
      <alignment horizontal="left"/>
    </xf>
    <xf numFmtId="2" fontId="30" fillId="0" borderId="0" xfId="2" applyNumberFormat="1" applyFont="1" applyFill="1" applyBorder="1" applyAlignment="1">
      <alignment horizontal="right"/>
    </xf>
    <xf numFmtId="2" fontId="30" fillId="0" borderId="0" xfId="2" applyNumberFormat="1" applyFont="1" applyFill="1" applyBorder="1" applyAlignment="1">
      <alignment horizontal="left"/>
    </xf>
    <xf numFmtId="2" fontId="31" fillId="0" borderId="0" xfId="2" applyNumberFormat="1" applyFont="1" applyFill="1" applyBorder="1" applyAlignment="1">
      <alignment horizontal="center"/>
    </xf>
    <xf numFmtId="2" fontId="17" fillId="0" borderId="0" xfId="2" applyNumberFormat="1" applyFont="1" applyFill="1" applyBorder="1" applyAlignment="1">
      <alignment horizontal="center"/>
    </xf>
    <xf numFmtId="1" fontId="2" fillId="0" borderId="0" xfId="2" applyNumberFormat="1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14" fillId="0" borderId="0" xfId="2" applyFont="1" applyBorder="1" applyAlignment="1"/>
    <xf numFmtId="2" fontId="2" fillId="0" borderId="0" xfId="2" applyNumberFormat="1" applyFont="1" applyFill="1" applyBorder="1" applyAlignment="1">
      <alignment horizontal="center"/>
    </xf>
    <xf numFmtId="0" fontId="3" fillId="11" borderId="0" xfId="2" applyFont="1" applyFill="1" applyBorder="1" applyAlignment="1">
      <alignment horizontal="center"/>
    </xf>
    <xf numFmtId="0" fontId="3" fillId="11" borderId="0" xfId="2" applyFont="1" applyFill="1" applyBorder="1" applyAlignment="1"/>
    <xf numFmtId="2" fontId="2" fillId="0" borderId="0" xfId="2" applyNumberFormat="1" applyFont="1" applyFill="1" applyBorder="1" applyAlignment="1"/>
    <xf numFmtId="0" fontId="2" fillId="11" borderId="0" xfId="2" applyFont="1" applyFill="1" applyBorder="1" applyAlignment="1"/>
    <xf numFmtId="0" fontId="2" fillId="11" borderId="0" xfId="2" applyFont="1" applyFill="1" applyBorder="1" applyAlignment="1">
      <alignment horizontal="left"/>
    </xf>
    <xf numFmtId="0" fontId="2" fillId="11" borderId="0" xfId="2" applyFont="1" applyFill="1" applyBorder="1" applyAlignment="1">
      <alignment horizontal="right"/>
    </xf>
    <xf numFmtId="0" fontId="2" fillId="11" borderId="0" xfId="2" applyFont="1" applyFill="1" applyBorder="1" applyAlignment="1">
      <alignment horizontal="center"/>
    </xf>
    <xf numFmtId="2" fontId="2" fillId="11" borderId="0" xfId="2" applyNumberFormat="1" applyFont="1" applyFill="1" applyBorder="1" applyAlignment="1">
      <alignment horizontal="right"/>
    </xf>
    <xf numFmtId="164" fontId="2" fillId="0" borderId="0" xfId="2" applyNumberFormat="1" applyFont="1" applyBorder="1" applyAlignment="1">
      <alignment horizontal="right"/>
    </xf>
    <xf numFmtId="0" fontId="3" fillId="4" borderId="0" xfId="2" applyFont="1" applyFill="1" applyBorder="1" applyAlignment="1">
      <alignment horizontal="center"/>
    </xf>
    <xf numFmtId="0" fontId="3" fillId="12" borderId="0" xfId="2" applyFont="1" applyFill="1" applyAlignment="1">
      <alignment horizontal="center"/>
    </xf>
    <xf numFmtId="0" fontId="3" fillId="13" borderId="0" xfId="2" applyFont="1" applyFill="1" applyAlignment="1">
      <alignment horizontal="center"/>
    </xf>
    <xf numFmtId="0" fontId="3" fillId="14" borderId="0" xfId="2" applyFont="1" applyFill="1" applyAlignment="1">
      <alignment horizontal="center"/>
    </xf>
    <xf numFmtId="164" fontId="2" fillId="0" borderId="0" xfId="2" applyNumberFormat="1" applyFont="1" applyFill="1" applyBorder="1" applyAlignment="1">
      <alignment horizontal="center"/>
    </xf>
    <xf numFmtId="0" fontId="2" fillId="4" borderId="0" xfId="2" applyFont="1" applyFill="1" applyBorder="1" applyAlignment="1">
      <alignment horizontal="left"/>
    </xf>
    <xf numFmtId="0" fontId="3" fillId="12" borderId="0" xfId="2" applyFont="1" applyFill="1" applyBorder="1" applyAlignment="1"/>
    <xf numFmtId="0" fontId="2" fillId="12" borderId="0" xfId="2" applyFont="1" applyFill="1" applyBorder="1" applyAlignment="1"/>
    <xf numFmtId="0" fontId="2" fillId="12" borderId="0" xfId="2" applyFont="1" applyFill="1" applyBorder="1" applyAlignment="1">
      <alignment horizontal="left"/>
    </xf>
    <xf numFmtId="0" fontId="2" fillId="12" borderId="0" xfId="2" applyFont="1" applyFill="1" applyBorder="1" applyAlignment="1">
      <alignment horizontal="right"/>
    </xf>
    <xf numFmtId="0" fontId="3" fillId="13" borderId="0" xfId="2" applyFont="1" applyFill="1" applyBorder="1" applyAlignment="1"/>
    <xf numFmtId="0" fontId="2" fillId="13" borderId="0" xfId="2" applyFont="1" applyFill="1" applyBorder="1" applyAlignment="1"/>
    <xf numFmtId="0" fontId="2" fillId="13" borderId="0" xfId="2" applyFont="1" applyFill="1" applyBorder="1" applyAlignment="1">
      <alignment horizontal="left"/>
    </xf>
    <xf numFmtId="0" fontId="2" fillId="13" borderId="0" xfId="2" applyFont="1" applyFill="1" applyBorder="1" applyAlignment="1">
      <alignment horizontal="right"/>
    </xf>
    <xf numFmtId="0" fontId="2" fillId="13" borderId="0" xfId="2" applyFont="1" applyFill="1" applyAlignment="1">
      <alignment horizontal="right"/>
    </xf>
    <xf numFmtId="0" fontId="2" fillId="13" borderId="0" xfId="2" applyFont="1" applyFill="1" applyAlignment="1">
      <alignment horizontal="center"/>
    </xf>
    <xf numFmtId="0" fontId="2" fillId="13" borderId="0" xfId="2" applyFont="1" applyFill="1" applyAlignment="1">
      <alignment horizontal="left"/>
    </xf>
    <xf numFmtId="0" fontId="3" fillId="14" borderId="0" xfId="2" applyFont="1" applyFill="1" applyBorder="1" applyAlignment="1"/>
    <xf numFmtId="0" fontId="2" fillId="14" borderId="0" xfId="2" applyFont="1" applyFill="1" applyBorder="1" applyAlignment="1"/>
    <xf numFmtId="0" fontId="2" fillId="14" borderId="0" xfId="2" applyFont="1" applyFill="1" applyBorder="1" applyAlignment="1">
      <alignment horizontal="left"/>
    </xf>
    <xf numFmtId="0" fontId="2" fillId="14" borderId="0" xfId="2" applyFont="1" applyFill="1" applyBorder="1" applyAlignment="1">
      <alignment horizontal="right"/>
    </xf>
    <xf numFmtId="0" fontId="2" fillId="14" borderId="0" xfId="2" applyFont="1" applyFill="1" applyAlignment="1">
      <alignment horizontal="right"/>
    </xf>
    <xf numFmtId="0" fontId="2" fillId="14" borderId="0" xfId="2" applyFont="1" applyFill="1" applyAlignment="1">
      <alignment horizontal="center"/>
    </xf>
    <xf numFmtId="0" fontId="2" fillId="14" borderId="0" xfId="2" applyFont="1" applyFill="1" applyAlignment="1">
      <alignment horizontal="left"/>
    </xf>
    <xf numFmtId="0" fontId="2" fillId="0" borderId="0" xfId="2" applyFont="1" applyFill="1" applyAlignment="1">
      <alignment horizontal="right"/>
    </xf>
    <xf numFmtId="0" fontId="3" fillId="0" borderId="0" xfId="7" applyFont="1" applyBorder="1" applyAlignment="1"/>
    <xf numFmtId="164" fontId="2" fillId="0" borderId="0" xfId="7" applyNumberFormat="1" applyFont="1" applyFill="1" applyBorder="1" applyAlignment="1"/>
    <xf numFmtId="0" fontId="4" fillId="0" borderId="0" xfId="7" applyFont="1" applyBorder="1" applyAlignment="1"/>
    <xf numFmtId="0" fontId="29" fillId="0" borderId="0" xfId="10"/>
    <xf numFmtId="164" fontId="2" fillId="0" borderId="0" xfId="2" applyNumberFormat="1" applyFont="1" applyBorder="1" applyAlignment="1"/>
    <xf numFmtId="2" fontId="2" fillId="0" borderId="0" xfId="7" applyNumberFormat="1" applyFont="1" applyBorder="1" applyAlignment="1">
      <alignment horizontal="right"/>
    </xf>
    <xf numFmtId="164" fontId="29" fillId="0" borderId="0" xfId="10" applyNumberFormat="1"/>
    <xf numFmtId="0" fontId="3" fillId="0" borderId="0" xfId="7" applyFont="1" applyFill="1" applyBorder="1" applyAlignment="1"/>
    <xf numFmtId="0" fontId="2" fillId="0" borderId="0" xfId="7" applyFont="1" applyFill="1" applyBorder="1" applyAlignment="1">
      <alignment horizontal="right"/>
    </xf>
    <xf numFmtId="0" fontId="2" fillId="0" borderId="0" xfId="7" applyFont="1" applyFill="1" applyBorder="1" applyAlignment="1">
      <alignment horizontal="center" vertical="center"/>
    </xf>
    <xf numFmtId="0" fontId="30" fillId="0" borderId="0" xfId="7" applyFont="1" applyBorder="1" applyAlignment="1"/>
    <xf numFmtId="0" fontId="3" fillId="0" borderId="0" xfId="8" applyFont="1" applyBorder="1" applyAlignment="1">
      <alignment horizontal="right"/>
    </xf>
    <xf numFmtId="0" fontId="6" fillId="0" borderId="0" xfId="8" applyFont="1" applyBorder="1" applyAlignment="1">
      <alignment horizontal="left"/>
    </xf>
    <xf numFmtId="0" fontId="2" fillId="0" borderId="0" xfId="8" applyFont="1" applyBorder="1" applyAlignment="1">
      <alignment horizontal="left"/>
    </xf>
    <xf numFmtId="0" fontId="30" fillId="0" borderId="0" xfId="7" applyFont="1" applyBorder="1" applyAlignment="1">
      <alignment horizontal="right"/>
    </xf>
    <xf numFmtId="0" fontId="6" fillId="0" borderId="0" xfId="8" applyFont="1" applyBorder="1" applyAlignment="1"/>
    <xf numFmtId="0" fontId="2" fillId="0" borderId="0" xfId="8" applyFont="1" applyAlignment="1">
      <alignment horizontal="right"/>
    </xf>
    <xf numFmtId="164" fontId="2" fillId="0" borderId="0" xfId="8" applyNumberFormat="1" applyFont="1" applyAlignment="1">
      <alignment horizontal="center"/>
    </xf>
    <xf numFmtId="164" fontId="4" fillId="0" borderId="0" xfId="2" applyNumberFormat="1" applyFont="1" applyBorder="1" applyAlignment="1"/>
    <xf numFmtId="164" fontId="2" fillId="0" borderId="0" xfId="8" applyNumberFormat="1" applyFont="1" applyFill="1" applyBorder="1" applyAlignment="1">
      <alignment horizontal="center"/>
    </xf>
    <xf numFmtId="0" fontId="6" fillId="0" borderId="0" xfId="7" applyFont="1" applyBorder="1" applyAlignment="1"/>
    <xf numFmtId="164" fontId="2" fillId="0" borderId="0" xfId="2" applyNumberFormat="1" applyFont="1"/>
    <xf numFmtId="164" fontId="2" fillId="0" borderId="0" xfId="7" applyNumberFormat="1" applyFont="1" applyBorder="1" applyAlignment="1"/>
    <xf numFmtId="0" fontId="3" fillId="0" borderId="0" xfId="10" applyFont="1" applyBorder="1" applyAlignment="1"/>
    <xf numFmtId="0" fontId="2" fillId="0" borderId="0" xfId="7" applyFont="1"/>
    <xf numFmtId="164" fontId="2" fillId="0" borderId="0" xfId="7" applyNumberFormat="1" applyFont="1"/>
    <xf numFmtId="0" fontId="2" fillId="0" borderId="0" xfId="7" applyFont="1" applyAlignment="1">
      <alignment horizontal="center" vertical="center"/>
    </xf>
    <xf numFmtId="0" fontId="2" fillId="0" borderId="0" xfId="7" applyFont="1" applyBorder="1" applyAlignment="1">
      <alignment wrapText="1"/>
    </xf>
    <xf numFmtId="164" fontId="2" fillId="0" borderId="0" xfId="7" applyNumberFormat="1" applyFont="1" applyBorder="1" applyAlignment="1">
      <alignment horizontal="center" wrapText="1"/>
    </xf>
    <xf numFmtId="0" fontId="32" fillId="0" borderId="0" xfId="7" applyFont="1" applyFill="1" applyBorder="1" applyAlignment="1">
      <alignment horizontal="center" wrapText="1"/>
    </xf>
    <xf numFmtId="0" fontId="1" fillId="0" borderId="0" xfId="7" applyFont="1" applyBorder="1" applyAlignment="1"/>
    <xf numFmtId="0" fontId="4" fillId="0" borderId="0" xfId="7" applyFont="1" applyBorder="1" applyAlignment="1">
      <alignment horizontal="center" wrapText="1"/>
    </xf>
    <xf numFmtId="0" fontId="2" fillId="0" borderId="0" xfId="7" applyFont="1" applyBorder="1" applyAlignment="1">
      <alignment horizontal="center"/>
    </xf>
    <xf numFmtId="164" fontId="4" fillId="0" borderId="0" xfId="7" applyNumberFormat="1" applyFont="1" applyBorder="1" applyAlignment="1">
      <alignment horizontal="center" wrapText="1"/>
    </xf>
    <xf numFmtId="0" fontId="4" fillId="0" borderId="0" xfId="7" applyFont="1" applyBorder="1" applyAlignment="1">
      <alignment horizontal="center" vertical="center" wrapText="1"/>
    </xf>
    <xf numFmtId="0" fontId="3" fillId="12" borderId="0" xfId="7" applyFont="1" applyFill="1" applyAlignment="1">
      <alignment horizontal="center"/>
    </xf>
    <xf numFmtId="0" fontId="2" fillId="0" borderId="0" xfId="2" applyNumberFormat="1" applyFont="1" applyFill="1" applyBorder="1" applyAlignment="1">
      <alignment horizontal="center"/>
    </xf>
    <xf numFmtId="0" fontId="2" fillId="0" borderId="0" xfId="7" applyFont="1" applyFill="1" applyAlignment="1">
      <alignment horizontal="center" vertical="center"/>
    </xf>
    <xf numFmtId="0" fontId="31" fillId="0" borderId="0" xfId="7" applyFont="1" applyFill="1" applyAlignment="1">
      <alignment horizontal="center"/>
    </xf>
    <xf numFmtId="0" fontId="2" fillId="0" borderId="0" xfId="7" applyFont="1" applyFill="1"/>
    <xf numFmtId="0" fontId="2" fillId="0" borderId="0" xfId="7" applyFont="1" applyFill="1" applyAlignment="1">
      <alignment horizontal="center"/>
    </xf>
    <xf numFmtId="164" fontId="2" fillId="0" borderId="0" xfId="7" applyNumberFormat="1" applyFont="1" applyFill="1" applyAlignment="1">
      <alignment horizontal="center"/>
    </xf>
    <xf numFmtId="0" fontId="2" fillId="0" borderId="0" xfId="7" applyFont="1" applyAlignment="1">
      <alignment horizontal="center"/>
    </xf>
    <xf numFmtId="0" fontId="3" fillId="15" borderId="0" xfId="7" applyFont="1" applyFill="1" applyAlignment="1">
      <alignment horizontal="center"/>
    </xf>
    <xf numFmtId="0" fontId="3" fillId="16" borderId="0" xfId="7" applyFont="1" applyFill="1" applyAlignment="1">
      <alignment horizontal="center"/>
    </xf>
    <xf numFmtId="2" fontId="2" fillId="0" borderId="0" xfId="7" applyNumberFormat="1" applyFont="1" applyFill="1" applyAlignment="1">
      <alignment horizontal="center"/>
    </xf>
    <xf numFmtId="0" fontId="3" fillId="15" borderId="0" xfId="10" applyFont="1" applyFill="1" applyBorder="1" applyAlignment="1">
      <alignment horizontal="center"/>
    </xf>
    <xf numFmtId="164" fontId="2" fillId="0" borderId="0" xfId="7" applyNumberFormat="1" applyFont="1" applyAlignment="1">
      <alignment horizontal="center"/>
    </xf>
    <xf numFmtId="0" fontId="2" fillId="12" borderId="0" xfId="7" applyFont="1" applyFill="1"/>
    <xf numFmtId="0" fontId="8" fillId="0" borderId="0" xfId="7" applyFont="1" applyFill="1" applyBorder="1"/>
    <xf numFmtId="0" fontId="8" fillId="12" borderId="0" xfId="7" applyFont="1" applyFill="1" applyBorder="1"/>
    <xf numFmtId="0" fontId="3" fillId="12" borderId="0" xfId="7" applyFont="1" applyFill="1" applyBorder="1" applyAlignment="1">
      <alignment horizontal="right"/>
    </xf>
    <xf numFmtId="0" fontId="3" fillId="0" borderId="0" xfId="7" applyFont="1" applyFill="1" applyBorder="1"/>
    <xf numFmtId="0" fontId="3" fillId="0" borderId="0" xfId="7" applyFont="1" applyFill="1" applyBorder="1" applyAlignment="1">
      <alignment horizontal="center"/>
    </xf>
    <xf numFmtId="0" fontId="3" fillId="0" borderId="0" xfId="7" applyFont="1" applyFill="1" applyAlignment="1">
      <alignment horizontal="center"/>
    </xf>
    <xf numFmtId="164" fontId="3" fillId="0" borderId="0" xfId="7" applyNumberFormat="1" applyFont="1" applyFill="1" applyBorder="1"/>
    <xf numFmtId="0" fontId="3" fillId="0" borderId="0" xfId="7" applyFont="1" applyFill="1" applyBorder="1" applyAlignment="1">
      <alignment horizontal="center" vertical="center"/>
    </xf>
    <xf numFmtId="0" fontId="2" fillId="12" borderId="0" xfId="7" applyFont="1" applyFill="1" applyBorder="1"/>
    <xf numFmtId="0" fontId="2" fillId="12" borderId="0" xfId="7" applyFont="1" applyFill="1" applyBorder="1" applyAlignment="1">
      <alignment horizontal="left"/>
    </xf>
    <xf numFmtId="0" fontId="2" fillId="0" borderId="0" xfId="7" applyFont="1" applyFill="1" applyBorder="1"/>
    <xf numFmtId="164" fontId="2" fillId="0" borderId="0" xfId="7" applyNumberFormat="1" applyFont="1" applyFill="1" applyBorder="1"/>
    <xf numFmtId="0" fontId="2" fillId="12" borderId="0" xfId="7" applyFont="1" applyFill="1" applyBorder="1" applyAlignment="1">
      <alignment horizontal="right"/>
    </xf>
    <xf numFmtId="2" fontId="2" fillId="12" borderId="0" xfId="7" applyNumberFormat="1" applyFont="1" applyFill="1" applyAlignment="1">
      <alignment horizontal="right"/>
    </xf>
    <xf numFmtId="164" fontId="2" fillId="12" borderId="0" xfId="7" applyNumberFormat="1" applyFont="1" applyFill="1" applyAlignment="1">
      <alignment horizontal="right"/>
    </xf>
    <xf numFmtId="164" fontId="3" fillId="0" borderId="0" xfId="7" applyNumberFormat="1" applyFont="1" applyFill="1" applyBorder="1" applyAlignment="1">
      <alignment horizontal="center"/>
    </xf>
    <xf numFmtId="164" fontId="2" fillId="0" borderId="0" xfId="7" applyNumberFormat="1" applyFont="1" applyFill="1" applyBorder="1" applyAlignment="1">
      <alignment horizontal="center"/>
    </xf>
    <xf numFmtId="0" fontId="2" fillId="12" borderId="0" xfId="7" applyFont="1" applyFill="1" applyAlignment="1">
      <alignment horizontal="left"/>
    </xf>
    <xf numFmtId="0" fontId="2" fillId="12" borderId="0" xfId="7" applyFont="1" applyFill="1" applyAlignment="1">
      <alignment horizontal="right"/>
    </xf>
    <xf numFmtId="0" fontId="2" fillId="15" borderId="0" xfId="7" applyFont="1" applyFill="1"/>
    <xf numFmtId="0" fontId="8" fillId="15" borderId="0" xfId="7" applyFont="1" applyFill="1" applyBorder="1"/>
    <xf numFmtId="0" fontId="2" fillId="15" borderId="0" xfId="7" applyFont="1" applyFill="1" applyBorder="1" applyAlignment="1">
      <alignment horizontal="right"/>
    </xf>
    <xf numFmtId="0" fontId="2" fillId="15" borderId="0" xfId="7" applyFont="1" applyFill="1" applyBorder="1"/>
    <xf numFmtId="0" fontId="2" fillId="15" borderId="0" xfId="7" applyFont="1" applyFill="1" applyBorder="1" applyAlignment="1">
      <alignment horizontal="left"/>
    </xf>
    <xf numFmtId="165" fontId="2" fillId="15" borderId="0" xfId="7" applyNumberFormat="1" applyFont="1" applyFill="1" applyBorder="1"/>
    <xf numFmtId="0" fontId="2" fillId="15" borderId="0" xfId="2" applyFont="1" applyFill="1" applyBorder="1"/>
    <xf numFmtId="0" fontId="2" fillId="15" borderId="0" xfId="7" applyFont="1" applyFill="1" applyAlignment="1">
      <alignment horizontal="right"/>
    </xf>
    <xf numFmtId="165" fontId="2" fillId="0" borderId="0" xfId="7" applyNumberFormat="1" applyFont="1" applyFill="1" applyBorder="1"/>
    <xf numFmtId="0" fontId="2" fillId="16" borderId="0" xfId="7" applyFont="1" applyFill="1"/>
    <xf numFmtId="0" fontId="3" fillId="16" borderId="0" xfId="7" applyFont="1" applyFill="1"/>
    <xf numFmtId="0" fontId="4" fillId="0" borderId="0" xfId="7" applyFont="1"/>
    <xf numFmtId="0" fontId="2" fillId="16" borderId="0" xfId="7" applyFont="1" applyFill="1" applyAlignment="1">
      <alignment horizontal="right"/>
    </xf>
    <xf numFmtId="0" fontId="2" fillId="16" borderId="0" xfId="7" applyFont="1" applyFill="1" applyAlignment="1">
      <alignment horizontal="left"/>
    </xf>
    <xf numFmtId="2" fontId="2" fillId="17" borderId="0" xfId="7" applyNumberFormat="1" applyFont="1" applyFill="1" applyAlignment="1">
      <alignment horizontal="right"/>
    </xf>
    <xf numFmtId="0" fontId="2" fillId="16" borderId="0" xfId="7" applyFont="1" applyFill="1" applyAlignment="1"/>
    <xf numFmtId="0" fontId="3" fillId="15" borderId="0" xfId="10" applyFont="1" applyFill="1" applyBorder="1" applyAlignment="1"/>
    <xf numFmtId="0" fontId="3" fillId="15" borderId="0" xfId="10" applyFont="1" applyFill="1" applyBorder="1" applyAlignment="1">
      <alignment horizontal="left"/>
    </xf>
    <xf numFmtId="0" fontId="2" fillId="15" borderId="0" xfId="10" applyFont="1" applyFill="1" applyBorder="1" applyAlignment="1"/>
    <xf numFmtId="0" fontId="2" fillId="15" borderId="0" xfId="10" applyFont="1" applyFill="1" applyBorder="1" applyAlignment="1">
      <alignment horizontal="right"/>
    </xf>
    <xf numFmtId="0" fontId="2" fillId="0" borderId="0" xfId="10" applyFont="1" applyFill="1" applyBorder="1" applyAlignment="1"/>
    <xf numFmtId="0" fontId="2" fillId="0" borderId="0" xfId="10" applyFont="1" applyFill="1" applyBorder="1" applyAlignment="1">
      <alignment horizontal="right"/>
    </xf>
    <xf numFmtId="0" fontId="18" fillId="0" borderId="0" xfId="10" applyFont="1"/>
    <xf numFmtId="0" fontId="2" fillId="0" borderId="0" xfId="10" applyFont="1"/>
    <xf numFmtId="0" fontId="3" fillId="0" borderId="0" xfId="10" applyFont="1" applyFill="1" applyBorder="1" applyAlignment="1"/>
    <xf numFmtId="165" fontId="2" fillId="0" borderId="0" xfId="2" applyNumberFormat="1" applyFont="1" applyFill="1" applyBorder="1" applyAlignment="1">
      <alignment horizontal="center"/>
    </xf>
    <xf numFmtId="0" fontId="18" fillId="18" borderId="0" xfId="2" applyFont="1" applyFill="1" applyAlignment="1">
      <alignment horizontal="center"/>
    </xf>
    <xf numFmtId="2" fontId="33" fillId="0" borderId="0" xfId="2" applyNumberFormat="1" applyFont="1" applyFill="1" applyBorder="1" applyAlignment="1"/>
    <xf numFmtId="0" fontId="3" fillId="19" borderId="0" xfId="2" applyFont="1" applyFill="1" applyBorder="1" applyAlignment="1">
      <alignment horizontal="center"/>
    </xf>
    <xf numFmtId="0" fontId="3" fillId="20" borderId="0" xfId="2" applyFont="1" applyFill="1" applyBorder="1" applyAlignment="1">
      <alignment horizontal="center"/>
    </xf>
    <xf numFmtId="0" fontId="3" fillId="18" borderId="0" xfId="2" applyFont="1" applyFill="1" applyBorder="1" applyAlignment="1"/>
    <xf numFmtId="0" fontId="2" fillId="18" borderId="0" xfId="2" applyFont="1" applyFill="1" applyBorder="1" applyAlignment="1"/>
    <xf numFmtId="165" fontId="2" fillId="18" borderId="0" xfId="2" applyNumberFormat="1" applyFont="1" applyFill="1" applyBorder="1" applyAlignment="1"/>
    <xf numFmtId="0" fontId="2" fillId="0" borderId="0" xfId="2" applyFont="1" applyFill="1" applyBorder="1" applyAlignment="1">
      <alignment horizontal="right" vertical="center"/>
    </xf>
    <xf numFmtId="0" fontId="3" fillId="19" borderId="0" xfId="2" applyFont="1" applyFill="1" applyBorder="1" applyAlignment="1"/>
    <xf numFmtId="0" fontId="2" fillId="19" borderId="0" xfId="2" applyFont="1" applyFill="1" applyBorder="1" applyAlignment="1"/>
    <xf numFmtId="0" fontId="2" fillId="19" borderId="0" xfId="2" applyFont="1" applyFill="1" applyBorder="1" applyAlignment="1">
      <alignment horizontal="right"/>
    </xf>
    <xf numFmtId="165" fontId="2" fillId="19" borderId="0" xfId="2" applyNumberFormat="1" applyFont="1" applyFill="1" applyBorder="1" applyAlignment="1"/>
    <xf numFmtId="0" fontId="3" fillId="20" borderId="0" xfId="2" applyFont="1" applyFill="1" applyBorder="1" applyAlignment="1"/>
    <xf numFmtId="0" fontId="2" fillId="20" borderId="0" xfId="2" applyFont="1" applyFill="1" applyBorder="1" applyAlignment="1"/>
    <xf numFmtId="0" fontId="19" fillId="0" borderId="0" xfId="0" applyFont="1" applyBorder="1" applyAlignment="1"/>
    <xf numFmtId="0" fontId="2" fillId="0" borderId="0" xfId="2" applyFont="1" applyBorder="1" applyAlignment="1">
      <alignment horizontal="left"/>
    </xf>
    <xf numFmtId="14" fontId="4" fillId="0" borderId="0" xfId="2" applyNumberFormat="1" applyFont="1" applyBorder="1" applyAlignment="1"/>
    <xf numFmtId="0" fontId="4" fillId="0" borderId="0" xfId="2" applyFont="1" applyBorder="1" applyAlignment="1">
      <alignment horizontal="center"/>
    </xf>
    <xf numFmtId="0" fontId="11" fillId="0" borderId="0" xfId="2" applyAlignment="1">
      <alignment horizontal="center"/>
    </xf>
    <xf numFmtId="0" fontId="2" fillId="0" borderId="0" xfId="2" applyFont="1" applyAlignment="1">
      <alignment horizontal="right"/>
    </xf>
    <xf numFmtId="165" fontId="2" fillId="0" borderId="0" xfId="2" applyNumberFormat="1" applyFont="1" applyBorder="1" applyAlignment="1"/>
    <xf numFmtId="0" fontId="2" fillId="0" borderId="0" xfId="2" applyFont="1" applyBorder="1"/>
    <xf numFmtId="0" fontId="2" fillId="0" borderId="0" xfId="2" applyFont="1" applyFill="1" applyBorder="1"/>
    <xf numFmtId="165" fontId="2" fillId="0" borderId="0" xfId="2" applyNumberFormat="1" applyFont="1" applyFill="1" applyBorder="1" applyAlignment="1">
      <alignment horizontal="right"/>
    </xf>
    <xf numFmtId="0" fontId="4" fillId="0" borderId="0" xfId="2" applyFont="1" applyFill="1" applyBorder="1"/>
    <xf numFmtId="0" fontId="2" fillId="0" borderId="0" xfId="2" applyNumberFormat="1" applyFont="1" applyFill="1" applyBorder="1" applyAlignment="1">
      <alignment horizontal="right"/>
    </xf>
    <xf numFmtId="165" fontId="2" fillId="0" borderId="0" xfId="2" applyNumberFormat="1" applyFont="1" applyAlignment="1">
      <alignment horizontal="center"/>
    </xf>
    <xf numFmtId="165" fontId="11" fillId="0" borderId="0" xfId="2" applyNumberFormat="1"/>
    <xf numFmtId="0" fontId="3" fillId="0" borderId="0" xfId="2" applyFont="1" applyFill="1" applyBorder="1"/>
    <xf numFmtId="165" fontId="2" fillId="0" borderId="0" xfId="2" applyNumberFormat="1" applyFont="1" applyFill="1" applyBorder="1"/>
    <xf numFmtId="0" fontId="20" fillId="0" borderId="0" xfId="2" applyFont="1" applyFill="1" applyBorder="1" applyAlignment="1">
      <alignment horizontal="center"/>
    </xf>
    <xf numFmtId="0" fontId="20" fillId="0" borderId="0" xfId="2" applyNumberFormat="1" applyFont="1" applyFill="1" applyBorder="1" applyAlignment="1">
      <alignment horizontal="center"/>
    </xf>
    <xf numFmtId="165" fontId="20" fillId="0" borderId="0" xfId="2" applyNumberFormat="1" applyFont="1" applyFill="1" applyBorder="1" applyAlignment="1">
      <alignment horizontal="center"/>
    </xf>
    <xf numFmtId="0" fontId="20" fillId="0" borderId="0" xfId="2" applyFont="1" applyFill="1" applyBorder="1"/>
    <xf numFmtId="0" fontId="2" fillId="15" borderId="0" xfId="2" applyFont="1" applyFill="1" applyBorder="1" applyAlignment="1"/>
    <xf numFmtId="0" fontId="2" fillId="15" borderId="0" xfId="2" applyFont="1" applyFill="1" applyBorder="1" applyAlignment="1">
      <alignment horizontal="right"/>
    </xf>
    <xf numFmtId="0" fontId="18" fillId="0" borderId="0" xfId="2" applyFont="1"/>
    <xf numFmtId="0" fontId="8" fillId="0" borderId="0" xfId="2" applyFont="1" applyBorder="1" applyAlignment="1"/>
    <xf numFmtId="0" fontId="2" fillId="0" borderId="0" xfId="0" applyFont="1" applyFill="1" applyBorder="1"/>
    <xf numFmtId="0" fontId="21" fillId="0" borderId="0" xfId="2" applyFont="1"/>
    <xf numFmtId="0" fontId="21" fillId="0" borderId="0" xfId="2" applyFont="1" applyAlignment="1">
      <alignment horizontal="center"/>
    </xf>
    <xf numFmtId="0" fontId="22" fillId="0" borderId="0" xfId="2" applyFont="1" applyBorder="1" applyAlignment="1"/>
    <xf numFmtId="0" fontId="21" fillId="0" borderId="0" xfId="2" applyFont="1" applyBorder="1" applyAlignment="1"/>
    <xf numFmtId="0" fontId="21" fillId="0" borderId="0" xfId="2" applyFont="1" applyBorder="1" applyAlignment="1">
      <alignment horizontal="right"/>
    </xf>
    <xf numFmtId="0" fontId="21" fillId="0" borderId="0" xfId="2" applyFont="1" applyBorder="1" applyAlignment="1">
      <alignment horizontal="center"/>
    </xf>
    <xf numFmtId="165" fontId="21" fillId="0" borderId="0" xfId="2" applyNumberFormat="1" applyFont="1" applyBorder="1" applyAlignment="1">
      <alignment horizontal="right"/>
    </xf>
    <xf numFmtId="2" fontId="21" fillId="0" borderId="0" xfId="2" applyNumberFormat="1" applyFont="1" applyBorder="1" applyAlignment="1">
      <alignment horizontal="right"/>
    </xf>
    <xf numFmtId="0" fontId="21" fillId="21" borderId="0" xfId="2" applyFont="1" applyFill="1" applyBorder="1" applyAlignment="1"/>
    <xf numFmtId="0" fontId="21" fillId="21" borderId="0" xfId="2" applyFont="1" applyFill="1" applyBorder="1" applyAlignment="1">
      <alignment horizontal="right"/>
    </xf>
    <xf numFmtId="0" fontId="23" fillId="0" borderId="0" xfId="2" applyFont="1" applyBorder="1" applyAlignment="1"/>
    <xf numFmtId="0" fontId="21" fillId="0" borderId="0" xfId="2" applyFont="1" applyFill="1" applyBorder="1" applyAlignment="1"/>
    <xf numFmtId="0" fontId="21" fillId="0" borderId="0" xfId="2" applyFont="1" applyFill="1" applyBorder="1" applyAlignment="1">
      <alignment horizontal="right"/>
    </xf>
    <xf numFmtId="0" fontId="24" fillId="0" borderId="0" xfId="2" applyFont="1" applyBorder="1" applyAlignment="1"/>
    <xf numFmtId="0" fontId="23" fillId="0" borderId="0" xfId="2" applyFont="1" applyBorder="1" applyAlignment="1">
      <alignment horizontal="left"/>
    </xf>
    <xf numFmtId="0" fontId="21" fillId="0" borderId="0" xfId="2" applyFont="1" applyBorder="1" applyAlignment="1">
      <alignment horizontal="left"/>
    </xf>
    <xf numFmtId="14" fontId="23" fillId="0" borderId="0" xfId="2" applyNumberFormat="1" applyFont="1" applyBorder="1" applyAlignment="1"/>
    <xf numFmtId="0" fontId="23" fillId="0" borderId="0" xfId="2" applyFont="1" applyBorder="1" applyAlignment="1">
      <alignment horizontal="center"/>
    </xf>
    <xf numFmtId="0" fontId="21" fillId="8" borderId="0" xfId="2" applyFont="1" applyFill="1"/>
    <xf numFmtId="0" fontId="21" fillId="0" borderId="0" xfId="2" applyFont="1" applyAlignment="1">
      <alignment horizontal="right"/>
    </xf>
    <xf numFmtId="165" fontId="21" fillId="0" borderId="0" xfId="2" applyNumberFormat="1" applyFont="1" applyBorder="1" applyAlignment="1"/>
    <xf numFmtId="0" fontId="21" fillId="0" borderId="0" xfId="2" applyFont="1" applyFill="1" applyBorder="1"/>
    <xf numFmtId="0" fontId="25" fillId="0" borderId="0" xfId="2" applyFont="1" applyBorder="1" applyAlignment="1">
      <alignment wrapText="1"/>
    </xf>
    <xf numFmtId="165" fontId="21" fillId="0" borderId="0" xfId="2" applyNumberFormat="1" applyFont="1" applyFill="1" applyBorder="1" applyAlignment="1">
      <alignment horizontal="right"/>
    </xf>
    <xf numFmtId="0" fontId="23" fillId="0" borderId="0" xfId="2" applyFont="1" applyFill="1" applyBorder="1"/>
    <xf numFmtId="0" fontId="21" fillId="0" borderId="0" xfId="2" applyNumberFormat="1" applyFont="1" applyFill="1" applyBorder="1" applyAlignment="1">
      <alignment horizontal="right"/>
    </xf>
    <xf numFmtId="0" fontId="21" fillId="0" borderId="0" xfId="2" applyFont="1" applyFill="1"/>
    <xf numFmtId="0" fontId="22" fillId="0" borderId="0" xfId="2" applyFont="1" applyBorder="1" applyAlignment="1">
      <alignment wrapText="1"/>
    </xf>
    <xf numFmtId="0" fontId="21" fillId="0" borderId="0" xfId="2" applyFont="1" applyBorder="1" applyAlignment="1">
      <alignment horizontal="center" wrapText="1"/>
    </xf>
    <xf numFmtId="0" fontId="22" fillId="0" borderId="0" xfId="2" applyFont="1" applyBorder="1" applyAlignment="1">
      <alignment horizontal="center" wrapText="1"/>
    </xf>
    <xf numFmtId="0" fontId="21" fillId="0" borderId="0" xfId="2" applyFont="1" applyBorder="1" applyAlignment="1">
      <alignment horizontal="center" vertical="center" wrapText="1"/>
    </xf>
    <xf numFmtId="0" fontId="25" fillId="0" borderId="0" xfId="2" applyFont="1" applyBorder="1" applyAlignment="1"/>
    <xf numFmtId="0" fontId="23" fillId="0" borderId="0" xfId="2" applyFont="1" applyBorder="1" applyAlignment="1">
      <alignment horizontal="center" wrapText="1"/>
    </xf>
    <xf numFmtId="0" fontId="23" fillId="0" borderId="0" xfId="2" applyFont="1" applyBorder="1" applyAlignment="1">
      <alignment wrapText="1"/>
    </xf>
    <xf numFmtId="0" fontId="21" fillId="4" borderId="0" xfId="2" applyFont="1" applyFill="1" applyBorder="1" applyAlignment="1">
      <alignment horizontal="center"/>
    </xf>
    <xf numFmtId="165" fontId="21" fillId="0" borderId="0" xfId="2" applyNumberFormat="1" applyFont="1" applyAlignment="1">
      <alignment horizontal="center"/>
    </xf>
    <xf numFmtId="165" fontId="21" fillId="0" borderId="0" xfId="2" applyNumberFormat="1" applyFont="1"/>
    <xf numFmtId="0" fontId="21" fillId="22" borderId="0" xfId="2" applyFont="1" applyFill="1" applyAlignment="1">
      <alignment horizontal="center"/>
    </xf>
    <xf numFmtId="0" fontId="22" fillId="4" borderId="0" xfId="2" applyFont="1" applyFill="1" applyBorder="1" applyAlignment="1"/>
    <xf numFmtId="0" fontId="22" fillId="4" borderId="0" xfId="2" applyFont="1" applyFill="1" applyBorder="1" applyAlignment="1">
      <alignment horizontal="left"/>
    </xf>
    <xf numFmtId="0" fontId="21" fillId="4" borderId="0" xfId="2" applyFont="1" applyFill="1" applyBorder="1" applyAlignment="1"/>
    <xf numFmtId="0" fontId="21" fillId="4" borderId="0" xfId="2" applyFont="1" applyFill="1" applyBorder="1" applyAlignment="1">
      <alignment horizontal="right"/>
    </xf>
    <xf numFmtId="0" fontId="22" fillId="0" borderId="0" xfId="2" applyFont="1" applyFill="1" applyBorder="1"/>
    <xf numFmtId="165" fontId="21" fillId="0" borderId="0" xfId="2" applyNumberFormat="1" applyFont="1" applyFill="1" applyBorder="1"/>
    <xf numFmtId="0" fontId="21" fillId="0" borderId="0" xfId="2" applyFont="1" applyFill="1" applyBorder="1" applyAlignment="1">
      <alignment horizontal="center"/>
    </xf>
    <xf numFmtId="0" fontId="21" fillId="22" borderId="0" xfId="2" applyFont="1" applyFill="1"/>
    <xf numFmtId="0" fontId="21" fillId="22" borderId="0" xfId="2" applyFont="1" applyFill="1" applyBorder="1"/>
    <xf numFmtId="0" fontId="21" fillId="22" borderId="0" xfId="2" applyFont="1" applyFill="1" applyBorder="1" applyAlignment="1">
      <alignment horizontal="right"/>
    </xf>
    <xf numFmtId="0" fontId="26" fillId="0" borderId="0" xfId="2" applyFont="1" applyFill="1" applyBorder="1" applyAlignment="1">
      <alignment horizontal="center"/>
    </xf>
    <xf numFmtId="0" fontId="26" fillId="0" borderId="0" xfId="2" applyNumberFormat="1" applyFont="1" applyFill="1" applyBorder="1" applyAlignment="1">
      <alignment horizontal="center"/>
    </xf>
    <xf numFmtId="0" fontId="26" fillId="0" borderId="0" xfId="2" applyFont="1" applyFill="1" applyBorder="1"/>
    <xf numFmtId="0" fontId="21" fillId="22" borderId="0" xfId="2" applyFont="1" applyFill="1" applyBorder="1" applyAlignment="1">
      <alignment horizontal="left"/>
    </xf>
    <xf numFmtId="0" fontId="22" fillId="0" borderId="0" xfId="0" applyFont="1" applyBorder="1" applyAlignment="1"/>
    <xf numFmtId="0" fontId="21" fillId="0" borderId="0" xfId="0" applyFont="1" applyBorder="1" applyAlignment="1"/>
    <xf numFmtId="0" fontId="21" fillId="0" borderId="0" xfId="0" applyFont="1" applyFill="1" applyBorder="1" applyAlignment="1"/>
    <xf numFmtId="0" fontId="21" fillId="0" borderId="0" xfId="0" applyFont="1" applyBorder="1" applyAlignment="1">
      <alignment horizontal="center"/>
    </xf>
    <xf numFmtId="0" fontId="21" fillId="0" borderId="0" xfId="0" applyFont="1" applyBorder="1" applyAlignment="1">
      <alignment horizontal="right"/>
    </xf>
    <xf numFmtId="0" fontId="23" fillId="0" borderId="0" xfId="0" applyFont="1" applyBorder="1" applyAlignment="1"/>
    <xf numFmtId="0" fontId="21" fillId="0" borderId="0" xfId="2" applyNumberFormat="1" applyFont="1" applyBorder="1" applyAlignment="1">
      <alignment horizontal="right"/>
    </xf>
    <xf numFmtId="0" fontId="22" fillId="0" borderId="0" xfId="2" applyFont="1" applyFill="1" applyBorder="1" applyAlignment="1"/>
    <xf numFmtId="0" fontId="22" fillId="0" borderId="0" xfId="2" applyFont="1" applyAlignment="1">
      <alignment horizontal="center"/>
    </xf>
    <xf numFmtId="0" fontId="21" fillId="0" borderId="0" xfId="2" applyFont="1" applyAlignment="1">
      <alignment horizontal="left"/>
    </xf>
    <xf numFmtId="0" fontId="23" fillId="0" borderId="0" xfId="2" applyFont="1"/>
    <xf numFmtId="0" fontId="21" fillId="0" borderId="0" xfId="2" applyFont="1" applyFill="1" applyBorder="1" applyAlignment="1">
      <alignment horizontal="center" wrapText="1"/>
    </xf>
    <xf numFmtId="0" fontId="23" fillId="0" borderId="0" xfId="2" applyFont="1" applyFill="1" applyBorder="1" applyAlignment="1">
      <alignment horizontal="center" wrapText="1"/>
    </xf>
    <xf numFmtId="0" fontId="21" fillId="7" borderId="0" xfId="2" applyFont="1" applyFill="1" applyBorder="1" applyAlignment="1"/>
    <xf numFmtId="0" fontId="21" fillId="7" borderId="0" xfId="2" applyFont="1" applyFill="1" applyBorder="1" applyAlignment="1">
      <alignment horizontal="center"/>
    </xf>
    <xf numFmtId="1" fontId="21" fillId="7" borderId="0" xfId="2" applyNumberFormat="1" applyFont="1" applyFill="1" applyBorder="1" applyAlignment="1">
      <alignment horizontal="center"/>
    </xf>
    <xf numFmtId="165" fontId="21" fillId="7" borderId="0" xfId="2" applyNumberFormat="1" applyFont="1" applyFill="1" applyBorder="1" applyAlignment="1">
      <alignment horizontal="center"/>
    </xf>
    <xf numFmtId="2" fontId="21" fillId="7" borderId="0" xfId="2" applyNumberFormat="1" applyFont="1" applyFill="1" applyBorder="1" applyAlignment="1">
      <alignment horizontal="center"/>
    </xf>
    <xf numFmtId="164" fontId="21" fillId="7" borderId="0" xfId="2" applyNumberFormat="1" applyFont="1" applyFill="1" applyBorder="1" applyAlignment="1">
      <alignment horizontal="center"/>
    </xf>
    <xf numFmtId="2" fontId="21" fillId="7" borderId="0" xfId="2" applyNumberFormat="1" applyFont="1" applyFill="1" applyBorder="1" applyAlignment="1"/>
    <xf numFmtId="0" fontId="21" fillId="6" borderId="0" xfId="2" applyFont="1" applyFill="1" applyBorder="1" applyAlignment="1">
      <alignment horizontal="center"/>
    </xf>
    <xf numFmtId="0" fontId="22" fillId="0" borderId="0" xfId="2" applyFont="1" applyFill="1" applyBorder="1" applyAlignment="1">
      <alignment horizontal="left"/>
    </xf>
    <xf numFmtId="0" fontId="23" fillId="0" borderId="0" xfId="2" applyFont="1" applyFill="1" applyBorder="1" applyAlignment="1"/>
    <xf numFmtId="0" fontId="22" fillId="6" borderId="0" xfId="2" applyFont="1" applyFill="1" applyBorder="1" applyAlignment="1"/>
    <xf numFmtId="0" fontId="21" fillId="6" borderId="0" xfId="2" applyFont="1" applyFill="1" applyBorder="1" applyAlignment="1"/>
    <xf numFmtId="165" fontId="21" fillId="6" borderId="0" xfId="2" applyNumberFormat="1" applyFont="1" applyFill="1" applyBorder="1" applyAlignment="1"/>
    <xf numFmtId="0" fontId="21" fillId="6" borderId="0" xfId="2" applyFont="1" applyFill="1" applyBorder="1" applyAlignment="1">
      <alignment horizontal="right"/>
    </xf>
    <xf numFmtId="0" fontId="22" fillId="23" borderId="0" xfId="2" applyFont="1" applyFill="1" applyBorder="1" applyAlignment="1"/>
    <xf numFmtId="0" fontId="21" fillId="23" borderId="0" xfId="2" applyFont="1" applyFill="1" applyBorder="1" applyAlignment="1"/>
    <xf numFmtId="0" fontId="21" fillId="23" borderId="0" xfId="2" applyNumberFormat="1" applyFont="1" applyFill="1" applyBorder="1" applyAlignment="1"/>
    <xf numFmtId="0" fontId="21" fillId="23" borderId="0" xfId="2" applyFont="1" applyFill="1" applyBorder="1" applyAlignment="1">
      <alignment wrapText="1"/>
    </xf>
    <xf numFmtId="0" fontId="21" fillId="23" borderId="0" xfId="2" applyNumberFormat="1" applyFont="1" applyFill="1" applyBorder="1" applyAlignment="1">
      <alignment horizontal="right"/>
    </xf>
    <xf numFmtId="0" fontId="21" fillId="7" borderId="0" xfId="2" applyNumberFormat="1" applyFont="1" applyFill="1" applyBorder="1" applyAlignment="1">
      <alignment horizontal="center"/>
    </xf>
    <xf numFmtId="0" fontId="21" fillId="0" borderId="0" xfId="0" applyFont="1"/>
  </cellXfs>
  <cellStyles count="12">
    <cellStyle name="Normal" xfId="0" builtinId="0"/>
    <cellStyle name="Normal 2" xfId="1" xr:uid="{FE91FFC1-D4EB-4440-AC7A-49FBF9AB8B27}"/>
    <cellStyle name="Normal 2 2" xfId="2" xr:uid="{FE65874B-962E-4100-8465-6D1FE2E2193A}"/>
    <cellStyle name="Normal 2 2 2 2" xfId="3" xr:uid="{20BCACAF-1212-47CA-AB76-EB9F5726368A}"/>
    <cellStyle name="Normal 2 2 9" xfId="4" xr:uid="{1866F351-8849-452F-A018-146E378E4DCC}"/>
    <cellStyle name="Normal 2_30C 5cm2 HAD and Shorting_v5" xfId="5" xr:uid="{B2155C09-B4B6-4ACE-81D6-6D385E5905A3}"/>
    <cellStyle name="Normal 3" xfId="6" xr:uid="{4DECFF5D-AE7B-4172-9E36-EF028DA898BF}"/>
    <cellStyle name="Normal 4" xfId="7" xr:uid="{513624B0-B6CC-4482-B471-6131C7BD30B6}"/>
    <cellStyle name="Normal 5" xfId="8" xr:uid="{F1E7F828-38F6-403F-8EAE-B632BCD56321}"/>
    <cellStyle name="Normal 5 2" xfId="9" xr:uid="{A498260F-2ECF-4B82-A206-B1C55F9D73D3}"/>
    <cellStyle name="Normal 6" xfId="10" xr:uid="{674B18C4-0B5C-485E-A2F9-CA6FD77E5510}"/>
    <cellStyle name="Normal 6 2" xfId="11" xr:uid="{C0F1F1E4-4F14-4653-B9FE-29CE6DF7C2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22413</xdr:colOff>
      <xdr:row>101</xdr:row>
      <xdr:rowOff>22411</xdr:rowOff>
    </xdr:from>
    <xdr:to>
      <xdr:col>4</xdr:col>
      <xdr:colOff>78442</xdr:colOff>
      <xdr:row>132</xdr:row>
      <xdr:rowOff>134470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5F96366-151F-E41A-A4E7-C03D863F1930}"/>
            </a:ext>
          </a:extLst>
        </xdr:cNvPr>
        <xdr:cNvSpPr/>
      </xdr:nvSpPr>
      <xdr:spPr>
        <a:xfrm>
          <a:off x="7042338" y="16957861"/>
          <a:ext cx="579904" cy="5131734"/>
        </a:xfrm>
        <a:prstGeom prst="rightBrace">
          <a:avLst>
            <a:gd name="adj1" fmla="val 8333"/>
            <a:gd name="adj2" fmla="val 54873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67236</xdr:colOff>
      <xdr:row>87</xdr:row>
      <xdr:rowOff>11208</xdr:rowOff>
    </xdr:from>
    <xdr:to>
      <xdr:col>4</xdr:col>
      <xdr:colOff>1131794</xdr:colOff>
      <xdr:row>163</xdr:row>
      <xdr:rowOff>11207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6D2F5EA7-05F6-AE09-CAFD-E47AA6CE4B50}"/>
            </a:ext>
          </a:extLst>
        </xdr:cNvPr>
        <xdr:cNvSpPr/>
      </xdr:nvSpPr>
      <xdr:spPr>
        <a:xfrm>
          <a:off x="7087161" y="14679708"/>
          <a:ext cx="1588433" cy="12306299"/>
        </a:xfrm>
        <a:prstGeom prst="rightBrace">
          <a:avLst>
            <a:gd name="adj1" fmla="val 7940"/>
            <a:gd name="adj2" fmla="val 32081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22411</xdr:colOff>
      <xdr:row>138</xdr:row>
      <xdr:rowOff>11205</xdr:rowOff>
    </xdr:from>
    <xdr:to>
      <xdr:col>4</xdr:col>
      <xdr:colOff>78440</xdr:colOff>
      <xdr:row>150</xdr:row>
      <xdr:rowOff>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A8D8B1B8-B478-9ACD-6D13-71F89C8174E4}"/>
            </a:ext>
          </a:extLst>
        </xdr:cNvPr>
        <xdr:cNvSpPr/>
      </xdr:nvSpPr>
      <xdr:spPr>
        <a:xfrm>
          <a:off x="7042336" y="22937880"/>
          <a:ext cx="579904" cy="1931895"/>
        </a:xfrm>
        <a:prstGeom prst="rightBrace">
          <a:avLst>
            <a:gd name="adj1" fmla="val 8333"/>
            <a:gd name="adj2" fmla="val 39956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22413</xdr:colOff>
      <xdr:row>202</xdr:row>
      <xdr:rowOff>22411</xdr:rowOff>
    </xdr:from>
    <xdr:to>
      <xdr:col>4</xdr:col>
      <xdr:colOff>78442</xdr:colOff>
      <xdr:row>233</xdr:row>
      <xdr:rowOff>134470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42A4B49F-8F25-B4DB-55EA-AFFBF5F1C04E}"/>
            </a:ext>
          </a:extLst>
        </xdr:cNvPr>
        <xdr:cNvSpPr/>
      </xdr:nvSpPr>
      <xdr:spPr>
        <a:xfrm>
          <a:off x="7042338" y="33207511"/>
          <a:ext cx="579904" cy="5131734"/>
        </a:xfrm>
        <a:prstGeom prst="rightBrace">
          <a:avLst>
            <a:gd name="adj1" fmla="val 8333"/>
            <a:gd name="adj2" fmla="val 54873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67236</xdr:colOff>
      <xdr:row>188</xdr:row>
      <xdr:rowOff>11208</xdr:rowOff>
    </xdr:from>
    <xdr:to>
      <xdr:col>4</xdr:col>
      <xdr:colOff>1131794</xdr:colOff>
      <xdr:row>264</xdr:row>
      <xdr:rowOff>11207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9DAA6F68-F368-DD29-3B70-17C47E33F345}"/>
            </a:ext>
          </a:extLst>
        </xdr:cNvPr>
        <xdr:cNvSpPr/>
      </xdr:nvSpPr>
      <xdr:spPr>
        <a:xfrm>
          <a:off x="7087161" y="30929358"/>
          <a:ext cx="1588433" cy="12306299"/>
        </a:xfrm>
        <a:prstGeom prst="rightBrace">
          <a:avLst>
            <a:gd name="adj1" fmla="val 7940"/>
            <a:gd name="adj2" fmla="val 32081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22411</xdr:colOff>
      <xdr:row>239</xdr:row>
      <xdr:rowOff>11205</xdr:rowOff>
    </xdr:from>
    <xdr:to>
      <xdr:col>4</xdr:col>
      <xdr:colOff>78440</xdr:colOff>
      <xdr:row>251</xdr:row>
      <xdr:rowOff>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92EFFD24-E706-51FE-DFD4-0451EA7D113E}"/>
            </a:ext>
          </a:extLst>
        </xdr:cNvPr>
        <xdr:cNvSpPr/>
      </xdr:nvSpPr>
      <xdr:spPr>
        <a:xfrm>
          <a:off x="7042336" y="39187530"/>
          <a:ext cx="579904" cy="1931895"/>
        </a:xfrm>
        <a:prstGeom prst="rightBrace">
          <a:avLst>
            <a:gd name="adj1" fmla="val 8333"/>
            <a:gd name="adj2" fmla="val 39956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C28F-C6B8-4651-A714-009EADE20ADE}">
  <sheetPr codeName="Sheet27">
    <pageSetUpPr fitToPage="1"/>
  </sheetPr>
  <dimension ref="A1:W55"/>
  <sheetViews>
    <sheetView zoomScale="85" zoomScaleNormal="25" zoomScaleSheetLayoutView="70" workbookViewId="0">
      <selection activeCell="A11" sqref="A11:IV11"/>
    </sheetView>
  </sheetViews>
  <sheetFormatPr defaultRowHeight="12.75" x14ac:dyDescent="0.2"/>
  <cols>
    <col min="1" max="1" width="11.5703125" style="4" bestFit="1" customWidth="1"/>
    <col min="2" max="2" width="56" style="2" customWidth="1"/>
    <col min="3" max="3" width="20.140625" style="2" customWidth="1"/>
    <col min="4" max="4" width="7.85546875" style="2" customWidth="1"/>
    <col min="5" max="5" width="18.42578125" style="2" bestFit="1" customWidth="1"/>
    <col min="6" max="6" width="8.42578125" style="6" bestFit="1" customWidth="1"/>
    <col min="7" max="7" width="8.7109375" style="6" bestFit="1" customWidth="1"/>
    <col min="8" max="8" width="8.5703125" style="6" bestFit="1" customWidth="1"/>
    <col min="9" max="9" width="9.28515625" style="6" bestFit="1" customWidth="1"/>
    <col min="10" max="12" width="7.5703125" style="6" bestFit="1" customWidth="1"/>
    <col min="13" max="13" width="9.85546875" style="6" bestFit="1" customWidth="1"/>
    <col min="14" max="14" width="9.28515625" style="6" bestFit="1" customWidth="1"/>
    <col min="15" max="16" width="8.140625" style="6" customWidth="1"/>
    <col min="17" max="17" width="6.42578125" style="2" bestFit="1" customWidth="1"/>
    <col min="18" max="18" width="9.5703125" style="2" customWidth="1"/>
    <col min="19" max="19" width="9.5703125" style="2" bestFit="1" customWidth="1"/>
    <col min="20" max="21" width="7.5703125" style="1" bestFit="1" customWidth="1"/>
    <col min="22" max="22" width="11.28515625" style="2" customWidth="1"/>
    <col min="23" max="23" width="7.42578125" style="2" customWidth="1"/>
    <col min="24" max="24" width="6.85546875" style="2" bestFit="1" customWidth="1"/>
    <col min="25" max="16384" width="9.140625" style="2"/>
  </cols>
  <sheetData>
    <row r="1" spans="1:23" s="4" customFormat="1" x14ac:dyDescent="0.2">
      <c r="A1" s="4" t="s">
        <v>3</v>
      </c>
      <c r="B1" s="4" t="s">
        <v>4</v>
      </c>
      <c r="C1" s="2"/>
      <c r="E1" s="2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2"/>
      <c r="R1" s="2"/>
      <c r="S1" s="2"/>
      <c r="T1" s="1"/>
      <c r="U1" s="1"/>
      <c r="V1" s="2"/>
      <c r="W1" s="2"/>
    </row>
    <row r="2" spans="1:23" x14ac:dyDescent="0.2">
      <c r="A2" s="4" t="s">
        <v>0</v>
      </c>
      <c r="B2" s="3" t="s">
        <v>1</v>
      </c>
      <c r="C2" s="3" t="s">
        <v>2</v>
      </c>
    </row>
    <row r="4" spans="1:23" x14ac:dyDescent="0.2">
      <c r="A4" s="4" t="s">
        <v>5</v>
      </c>
    </row>
    <row r="5" spans="1:23" s="33" customFormat="1" x14ac:dyDescent="0.2">
      <c r="B5" s="33" t="s">
        <v>8</v>
      </c>
      <c r="C5" s="33" t="s">
        <v>70</v>
      </c>
    </row>
    <row r="6" spans="1:23" s="33" customFormat="1" x14ac:dyDescent="0.2">
      <c r="B6" s="33" t="s">
        <v>50</v>
      </c>
      <c r="C6" s="33" t="s">
        <v>172</v>
      </c>
    </row>
    <row r="7" spans="1:23" s="33" customFormat="1" x14ac:dyDescent="0.2">
      <c r="B7" s="33" t="s">
        <v>134</v>
      </c>
      <c r="C7" s="33" t="s">
        <v>173</v>
      </c>
    </row>
    <row r="8" spans="1:23" s="33" customFormat="1" x14ac:dyDescent="0.2">
      <c r="B8" s="33" t="s">
        <v>102</v>
      </c>
      <c r="C8" s="33" t="s">
        <v>103</v>
      </c>
    </row>
    <row r="9" spans="1:23" s="33" customFormat="1" x14ac:dyDescent="0.2">
      <c r="A9" s="33" t="s">
        <v>21</v>
      </c>
      <c r="B9" s="50" t="s">
        <v>110</v>
      </c>
      <c r="C9" s="33" t="s">
        <v>111</v>
      </c>
    </row>
    <row r="10" spans="1:23" s="33" customFormat="1" x14ac:dyDescent="0.2">
      <c r="B10" s="50" t="s">
        <v>165</v>
      </c>
      <c r="C10" s="33" t="s">
        <v>171</v>
      </c>
    </row>
    <row r="11" spans="1:23" x14ac:dyDescent="0.2">
      <c r="B11" s="2" t="s">
        <v>191</v>
      </c>
      <c r="C11" s="2" t="s">
        <v>353</v>
      </c>
    </row>
    <row r="12" spans="1:23" x14ac:dyDescent="0.2">
      <c r="B12" s="2" t="s">
        <v>93</v>
      </c>
    </row>
    <row r="14" spans="1:23" x14ac:dyDescent="0.2">
      <c r="B14" s="2" t="s">
        <v>8</v>
      </c>
      <c r="C14" s="2" t="s">
        <v>9</v>
      </c>
    </row>
    <row r="15" spans="1:23" x14ac:dyDescent="0.2">
      <c r="B15" s="2" t="s">
        <v>17</v>
      </c>
      <c r="C15" s="2">
        <v>2</v>
      </c>
    </row>
    <row r="16" spans="1:23" x14ac:dyDescent="0.2">
      <c r="B16" s="2" t="s">
        <v>170</v>
      </c>
      <c r="C16" s="25" t="s">
        <v>92</v>
      </c>
    </row>
    <row r="17" spans="1:4" x14ac:dyDescent="0.2">
      <c r="A17" s="33" t="s">
        <v>21</v>
      </c>
      <c r="B17" s="2" t="s">
        <v>158</v>
      </c>
      <c r="C17" s="25" t="s">
        <v>92</v>
      </c>
    </row>
    <row r="19" spans="1:4" x14ac:dyDescent="0.2">
      <c r="B19" s="46" t="s">
        <v>8</v>
      </c>
      <c r="C19" s="47" t="s">
        <v>88</v>
      </c>
    </row>
    <row r="20" spans="1:4" x14ac:dyDescent="0.2">
      <c r="B20" s="46" t="s">
        <v>45</v>
      </c>
      <c r="C20" s="47" t="s">
        <v>46</v>
      </c>
    </row>
    <row r="21" spans="1:4" x14ac:dyDescent="0.2">
      <c r="B21" s="46" t="s">
        <v>17</v>
      </c>
      <c r="C21" s="48">
        <v>1</v>
      </c>
    </row>
    <row r="22" spans="1:4" x14ac:dyDescent="0.2">
      <c r="B22" s="33" t="s">
        <v>89</v>
      </c>
      <c r="C22" s="33" t="s">
        <v>134</v>
      </c>
    </row>
    <row r="23" spans="1:4" x14ac:dyDescent="0.2">
      <c r="B23" s="33" t="s">
        <v>41</v>
      </c>
      <c r="C23" s="175">
        <v>20</v>
      </c>
    </row>
    <row r="24" spans="1:4" x14ac:dyDescent="0.2">
      <c r="B24" s="2" t="s">
        <v>91</v>
      </c>
    </row>
    <row r="25" spans="1:4" x14ac:dyDescent="0.2">
      <c r="B25" s="33" t="s">
        <v>211</v>
      </c>
      <c r="C25" s="25">
        <v>500</v>
      </c>
      <c r="D25" s="2" t="s">
        <v>213</v>
      </c>
    </row>
    <row r="26" spans="1:4" x14ac:dyDescent="0.2">
      <c r="B26" s="2" t="s">
        <v>212</v>
      </c>
    </row>
    <row r="27" spans="1:4" x14ac:dyDescent="0.2">
      <c r="B27" s="33" t="s">
        <v>211</v>
      </c>
      <c r="C27" s="25">
        <v>1000</v>
      </c>
      <c r="D27" s="2" t="s">
        <v>213</v>
      </c>
    </row>
    <row r="28" spans="1:4" x14ac:dyDescent="0.2">
      <c r="B28" s="33"/>
      <c r="C28" s="25"/>
    </row>
    <row r="29" spans="1:4" x14ac:dyDescent="0.2">
      <c r="B29" s="46" t="s">
        <v>8</v>
      </c>
      <c r="C29" s="47" t="s">
        <v>88</v>
      </c>
    </row>
    <row r="30" spans="1:4" x14ac:dyDescent="0.2">
      <c r="B30" s="46" t="s">
        <v>45</v>
      </c>
      <c r="C30" s="47" t="s">
        <v>46</v>
      </c>
    </row>
    <row r="31" spans="1:4" x14ac:dyDescent="0.2">
      <c r="B31" s="46" t="s">
        <v>17</v>
      </c>
      <c r="C31" s="48">
        <v>1</v>
      </c>
    </row>
    <row r="32" spans="1:4" x14ac:dyDescent="0.2">
      <c r="B32" s="33" t="s">
        <v>89</v>
      </c>
      <c r="C32" s="357" t="s">
        <v>350</v>
      </c>
    </row>
    <row r="33" spans="2:3" x14ac:dyDescent="0.2">
      <c r="B33" s="33" t="s">
        <v>41</v>
      </c>
      <c r="C33" s="175">
        <v>97</v>
      </c>
    </row>
    <row r="34" spans="2:3" x14ac:dyDescent="0.2">
      <c r="B34" s="2" t="s">
        <v>89</v>
      </c>
      <c r="C34" s="357" t="s">
        <v>351</v>
      </c>
    </row>
    <row r="35" spans="2:3" x14ac:dyDescent="0.2">
      <c r="B35" s="2" t="s">
        <v>41</v>
      </c>
      <c r="C35" s="25">
        <v>97</v>
      </c>
    </row>
    <row r="36" spans="2:3" x14ac:dyDescent="0.2">
      <c r="B36" s="2" t="s">
        <v>91</v>
      </c>
    </row>
    <row r="37" spans="2:3" x14ac:dyDescent="0.2">
      <c r="B37" s="33" t="s">
        <v>217</v>
      </c>
      <c r="C37" s="25" t="s">
        <v>92</v>
      </c>
    </row>
    <row r="38" spans="2:3" x14ac:dyDescent="0.2">
      <c r="B38" s="2" t="s">
        <v>212</v>
      </c>
    </row>
    <row r="39" spans="2:3" x14ac:dyDescent="0.2">
      <c r="B39" s="33" t="s">
        <v>217</v>
      </c>
      <c r="C39" s="25" t="s">
        <v>48</v>
      </c>
    </row>
    <row r="40" spans="2:3" x14ac:dyDescent="0.2">
      <c r="B40" s="33"/>
      <c r="C40" s="25"/>
    </row>
    <row r="41" spans="2:3" x14ac:dyDescent="0.2">
      <c r="B41" s="33" t="s">
        <v>8</v>
      </c>
      <c r="C41" s="25" t="s">
        <v>348</v>
      </c>
    </row>
    <row r="42" spans="2:3" x14ac:dyDescent="0.2">
      <c r="B42" s="33" t="s">
        <v>348</v>
      </c>
      <c r="C42" s="25" t="s">
        <v>217</v>
      </c>
    </row>
    <row r="43" spans="2:3" x14ac:dyDescent="0.2">
      <c r="B43" s="33" t="s">
        <v>128</v>
      </c>
      <c r="C43" s="25" t="s">
        <v>92</v>
      </c>
    </row>
    <row r="44" spans="2:3" x14ac:dyDescent="0.2">
      <c r="B44" s="33"/>
      <c r="C44" s="25"/>
    </row>
    <row r="45" spans="2:3" x14ac:dyDescent="0.2">
      <c r="B45" s="2" t="s">
        <v>8</v>
      </c>
      <c r="C45" s="25" t="s">
        <v>70</v>
      </c>
    </row>
    <row r="46" spans="2:3" x14ac:dyDescent="0.2">
      <c r="B46" s="33" t="s">
        <v>50</v>
      </c>
      <c r="C46" s="33" t="s">
        <v>219</v>
      </c>
    </row>
    <row r="47" spans="2:3" x14ac:dyDescent="0.2">
      <c r="B47" s="33" t="s">
        <v>177</v>
      </c>
      <c r="C47" s="33" t="s">
        <v>218</v>
      </c>
    </row>
    <row r="48" spans="2:3" x14ac:dyDescent="0.2">
      <c r="B48" s="33"/>
      <c r="C48" s="33"/>
    </row>
    <row r="49" spans="1:3" x14ac:dyDescent="0.2">
      <c r="B49" s="33" t="s">
        <v>8</v>
      </c>
      <c r="C49" s="33" t="s">
        <v>9</v>
      </c>
    </row>
    <row r="50" spans="1:3" x14ac:dyDescent="0.2">
      <c r="B50" s="33" t="s">
        <v>217</v>
      </c>
      <c r="C50" s="48" t="s">
        <v>48</v>
      </c>
    </row>
    <row r="51" spans="1:3" x14ac:dyDescent="0.2">
      <c r="B51" s="33"/>
      <c r="C51" s="48"/>
    </row>
    <row r="52" spans="1:3" x14ac:dyDescent="0.2">
      <c r="B52" s="33" t="s">
        <v>8</v>
      </c>
      <c r="C52" s="48" t="s">
        <v>349</v>
      </c>
    </row>
    <row r="53" spans="1:3" x14ac:dyDescent="0.2">
      <c r="B53" s="2" t="s">
        <v>349</v>
      </c>
      <c r="C53" s="25" t="s">
        <v>217</v>
      </c>
    </row>
    <row r="55" spans="1:3" x14ac:dyDescent="0.2">
      <c r="A55" s="4" t="s">
        <v>7</v>
      </c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7E88-2D99-422A-8775-4AA1777DB07B}">
  <sheetPr codeName="Sheet16">
    <pageSetUpPr fitToPage="1"/>
  </sheetPr>
  <dimension ref="A1:W13"/>
  <sheetViews>
    <sheetView zoomScale="85" zoomScaleNormal="25" zoomScaleSheetLayoutView="70" workbookViewId="0">
      <selection activeCell="B7" sqref="B7"/>
    </sheetView>
  </sheetViews>
  <sheetFormatPr defaultRowHeight="12.75" x14ac:dyDescent="0.2"/>
  <cols>
    <col min="1" max="1" width="11.5703125" style="4" bestFit="1" customWidth="1"/>
    <col min="2" max="2" width="56" style="2" customWidth="1"/>
    <col min="3" max="3" width="20.140625" style="2" customWidth="1"/>
    <col min="4" max="4" width="7.85546875" style="2" customWidth="1"/>
    <col min="5" max="5" width="18.42578125" style="2" bestFit="1" customWidth="1"/>
    <col min="6" max="6" width="8.42578125" style="6" bestFit="1" customWidth="1"/>
    <col min="7" max="7" width="8.7109375" style="6" bestFit="1" customWidth="1"/>
    <col min="8" max="8" width="8.5703125" style="6" bestFit="1" customWidth="1"/>
    <col min="9" max="9" width="9.28515625" style="6" bestFit="1" customWidth="1"/>
    <col min="10" max="12" width="7.5703125" style="6" bestFit="1" customWidth="1"/>
    <col min="13" max="13" width="9.85546875" style="6" bestFit="1" customWidth="1"/>
    <col min="14" max="14" width="9.28515625" style="6" bestFit="1" customWidth="1"/>
    <col min="15" max="16" width="8.140625" style="6" customWidth="1"/>
    <col min="17" max="17" width="6.42578125" style="2" bestFit="1" customWidth="1"/>
    <col min="18" max="18" width="9.5703125" style="2" customWidth="1"/>
    <col min="19" max="19" width="9.5703125" style="2" bestFit="1" customWidth="1"/>
    <col min="20" max="21" width="7.5703125" style="1" bestFit="1" customWidth="1"/>
    <col min="22" max="22" width="11.28515625" style="2" customWidth="1"/>
    <col min="23" max="23" width="7.42578125" style="2" customWidth="1"/>
    <col min="24" max="24" width="6.85546875" style="2" bestFit="1" customWidth="1"/>
    <col min="25" max="16384" width="9.140625" style="2"/>
  </cols>
  <sheetData>
    <row r="1" spans="1:23" s="4" customFormat="1" x14ac:dyDescent="0.2">
      <c r="A1" s="4" t="s">
        <v>3</v>
      </c>
      <c r="B1" s="4" t="s">
        <v>4</v>
      </c>
      <c r="C1" s="2"/>
      <c r="E1" s="2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2"/>
      <c r="R1" s="2"/>
      <c r="S1" s="2"/>
      <c r="T1" s="1"/>
      <c r="U1" s="1"/>
      <c r="V1" s="2"/>
      <c r="W1" s="2"/>
    </row>
    <row r="2" spans="1:23" x14ac:dyDescent="0.2">
      <c r="A2" s="4" t="s">
        <v>0</v>
      </c>
      <c r="B2" s="3" t="s">
        <v>1</v>
      </c>
      <c r="C2" s="3" t="s">
        <v>2</v>
      </c>
    </row>
    <row r="4" spans="1:23" x14ac:dyDescent="0.2">
      <c r="A4" s="4" t="s">
        <v>5</v>
      </c>
    </row>
    <row r="5" spans="1:23" s="33" customFormat="1" x14ac:dyDescent="0.2">
      <c r="B5" s="33" t="s">
        <v>8</v>
      </c>
      <c r="C5" s="33" t="s">
        <v>9</v>
      </c>
    </row>
    <row r="6" spans="1:23" s="33" customFormat="1" x14ac:dyDescent="0.2">
      <c r="B6" s="33" t="s">
        <v>17</v>
      </c>
      <c r="C6" s="33">
        <v>2</v>
      </c>
    </row>
    <row r="7" spans="1:23" s="33" customFormat="1" x14ac:dyDescent="0.2">
      <c r="A7"/>
      <c r="B7" t="s">
        <v>170</v>
      </c>
      <c r="C7" s="99" t="s">
        <v>92</v>
      </c>
    </row>
    <row r="8" spans="1:23" s="33" customFormat="1" x14ac:dyDescent="0.2">
      <c r="A8"/>
      <c r="B8"/>
      <c r="C8"/>
    </row>
    <row r="9" spans="1:23" s="33" customFormat="1" x14ac:dyDescent="0.2">
      <c r="A9" s="4" t="s">
        <v>7</v>
      </c>
      <c r="B9"/>
      <c r="C9"/>
    </row>
    <row r="10" spans="1:23" s="33" customFormat="1" x14ac:dyDescent="0.2">
      <c r="B10"/>
      <c r="C10"/>
    </row>
    <row r="11" spans="1:23" s="33" customFormat="1" x14ac:dyDescent="0.2">
      <c r="A11"/>
      <c r="B11"/>
      <c r="C11"/>
    </row>
    <row r="13" spans="1:23" x14ac:dyDescent="0.2">
      <c r="A13" s="2"/>
    </row>
  </sheetData>
  <phoneticPr fontId="0" type="noConversion"/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5ABE-19A4-4BE4-993A-E21A43F228A1}">
  <sheetPr codeName="Sheet3">
    <pageSetUpPr fitToPage="1"/>
  </sheetPr>
  <dimension ref="A1:R135"/>
  <sheetViews>
    <sheetView topLeftCell="A2" zoomScale="85" zoomScaleNormal="25" zoomScaleSheetLayoutView="70" workbookViewId="0">
      <selection activeCell="P13" sqref="P13"/>
    </sheetView>
  </sheetViews>
  <sheetFormatPr defaultRowHeight="12.75" x14ac:dyDescent="0.2"/>
  <cols>
    <col min="1" max="1" width="11.5703125" style="112" bestFit="1" customWidth="1"/>
    <col min="2" max="2" width="58.5703125" style="133" bestFit="1" customWidth="1"/>
    <col min="3" max="3" width="35.140625" style="133" bestFit="1" customWidth="1"/>
    <col min="4" max="4" width="7.85546875" style="133" customWidth="1"/>
    <col min="5" max="5" width="18.42578125" style="133" bestFit="1" customWidth="1"/>
    <col min="6" max="6" width="8.42578125" style="125" bestFit="1" customWidth="1"/>
    <col min="7" max="7" width="8.7109375" style="125" bestFit="1" customWidth="1"/>
    <col min="8" max="9" width="10.42578125" style="125" customWidth="1"/>
    <col min="10" max="13" width="9" style="125" customWidth="1"/>
    <col min="14" max="14" width="9.42578125" style="133" customWidth="1"/>
    <col min="15" max="16" width="11.42578125" style="133" customWidth="1"/>
    <col min="17" max="18" width="9.42578125" style="116" customWidth="1"/>
    <col min="19" max="16384" width="9.140625" style="133"/>
  </cols>
  <sheetData>
    <row r="1" spans="1:18" s="112" customFormat="1" x14ac:dyDescent="0.2">
      <c r="A1" s="112" t="s">
        <v>3</v>
      </c>
      <c r="B1" s="112" t="s">
        <v>4</v>
      </c>
      <c r="C1" s="133"/>
      <c r="E1" s="133"/>
      <c r="F1" s="125"/>
      <c r="G1" s="125"/>
      <c r="H1" s="125"/>
      <c r="I1" s="125"/>
      <c r="J1" s="125"/>
      <c r="K1" s="125"/>
      <c r="L1" s="125"/>
      <c r="M1" s="125"/>
      <c r="N1" s="133"/>
      <c r="O1" s="133"/>
      <c r="P1" s="133"/>
      <c r="Q1" s="116"/>
      <c r="R1" s="116"/>
    </row>
    <row r="2" spans="1:18" x14ac:dyDescent="0.2">
      <c r="A2" s="112" t="s">
        <v>0</v>
      </c>
      <c r="B2" s="115" t="s">
        <v>1</v>
      </c>
      <c r="C2" s="115" t="s">
        <v>2</v>
      </c>
    </row>
    <row r="3" spans="1:18" x14ac:dyDescent="0.2">
      <c r="P3" s="125"/>
      <c r="Q3" s="125"/>
      <c r="R3" s="125"/>
    </row>
    <row r="4" spans="1:18" x14ac:dyDescent="0.2">
      <c r="A4" s="112" t="s">
        <v>5</v>
      </c>
      <c r="P4" s="138"/>
      <c r="Q4" s="176"/>
      <c r="R4" s="125"/>
    </row>
    <row r="5" spans="1:18" x14ac:dyDescent="0.2">
      <c r="B5" s="133" t="s">
        <v>8</v>
      </c>
      <c r="C5" s="133" t="s">
        <v>9</v>
      </c>
      <c r="P5" s="138"/>
      <c r="Q5" s="177"/>
      <c r="R5" s="125"/>
    </row>
    <row r="6" spans="1:18" x14ac:dyDescent="0.2">
      <c r="B6" s="133" t="s">
        <v>17</v>
      </c>
      <c r="C6" s="134">
        <v>2</v>
      </c>
      <c r="P6" s="138"/>
      <c r="Q6" s="176"/>
      <c r="R6" s="125"/>
    </row>
    <row r="7" spans="1:18" x14ac:dyDescent="0.2">
      <c r="B7" s="133" t="s">
        <v>166</v>
      </c>
      <c r="C7" s="134" t="s">
        <v>5</v>
      </c>
      <c r="P7" s="178"/>
      <c r="Q7" s="179"/>
      <c r="R7" s="125"/>
    </row>
    <row r="8" spans="1:18" x14ac:dyDescent="0.2">
      <c r="P8" s="180"/>
      <c r="Q8" s="181"/>
      <c r="R8" s="125"/>
    </row>
    <row r="9" spans="1:18" x14ac:dyDescent="0.2">
      <c r="B9" s="133" t="s">
        <v>135</v>
      </c>
      <c r="C9" s="134" t="s">
        <v>14</v>
      </c>
      <c r="P9" s="182"/>
      <c r="Q9" s="183"/>
      <c r="R9" s="125"/>
    </row>
    <row r="10" spans="1:18" x14ac:dyDescent="0.2">
      <c r="B10" s="133" t="s">
        <v>133</v>
      </c>
      <c r="C10" s="134" t="s">
        <v>90</v>
      </c>
      <c r="P10" s="184"/>
      <c r="Q10" s="185"/>
      <c r="R10" s="125"/>
    </row>
    <row r="11" spans="1:18" x14ac:dyDescent="0.2">
      <c r="B11" s="133" t="s">
        <v>136</v>
      </c>
      <c r="C11" s="135">
        <v>1.1000000000000001</v>
      </c>
      <c r="P11" s="184"/>
      <c r="Q11" s="185"/>
      <c r="R11" s="125"/>
    </row>
    <row r="12" spans="1:18" x14ac:dyDescent="0.2">
      <c r="B12" s="133" t="s">
        <v>137</v>
      </c>
      <c r="C12" s="136">
        <v>0</v>
      </c>
      <c r="P12" s="125"/>
      <c r="Q12" s="125"/>
      <c r="R12" s="125"/>
    </row>
    <row r="13" spans="1:18" x14ac:dyDescent="0.2">
      <c r="C13" s="136"/>
      <c r="P13" s="138"/>
      <c r="Q13" s="186"/>
      <c r="R13" s="125"/>
    </row>
    <row r="14" spans="1:18" x14ac:dyDescent="0.2">
      <c r="B14" s="133" t="s">
        <v>151</v>
      </c>
      <c r="C14" s="134" t="s">
        <v>205</v>
      </c>
      <c r="D14" s="115" t="s">
        <v>220</v>
      </c>
      <c r="F14" s="133"/>
      <c r="G14" s="133"/>
      <c r="H14" s="133"/>
      <c r="I14" s="133"/>
      <c r="J14" s="133"/>
      <c r="K14" s="133"/>
      <c r="L14" s="133"/>
      <c r="M14" s="133"/>
      <c r="P14" s="134"/>
      <c r="Q14" s="130"/>
      <c r="R14" s="125"/>
    </row>
    <row r="15" spans="1:18" x14ac:dyDescent="0.2">
      <c r="B15" s="133" t="s">
        <v>167</v>
      </c>
      <c r="C15" s="134">
        <v>0</v>
      </c>
      <c r="D15" s="115"/>
      <c r="F15" s="133"/>
      <c r="G15" s="133"/>
      <c r="H15" s="133"/>
      <c r="I15" s="133"/>
      <c r="J15" s="133"/>
      <c r="K15" s="133"/>
      <c r="L15" s="133"/>
      <c r="M15" s="133"/>
    </row>
    <row r="16" spans="1:18" x14ac:dyDescent="0.2">
      <c r="B16" s="133" t="s">
        <v>139</v>
      </c>
      <c r="C16" s="134">
        <v>0</v>
      </c>
      <c r="D16" s="115"/>
      <c r="F16" s="133"/>
      <c r="G16" s="133"/>
      <c r="H16" s="133"/>
      <c r="I16" s="133"/>
      <c r="J16" s="133"/>
      <c r="K16" s="133"/>
      <c r="L16" s="133"/>
      <c r="M16" s="133"/>
    </row>
    <row r="17" spans="1:18" s="125" customFormat="1" x14ac:dyDescent="0.2">
      <c r="A17" s="137"/>
      <c r="B17" s="125" t="s">
        <v>138</v>
      </c>
      <c r="C17" s="138">
        <v>100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</row>
    <row r="18" spans="1:18" s="125" customFormat="1" x14ac:dyDescent="0.2">
      <c r="A18" s="137"/>
      <c r="B18" s="125" t="s">
        <v>149</v>
      </c>
      <c r="C18" s="138">
        <v>0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</row>
    <row r="19" spans="1:18" s="125" customFormat="1" x14ac:dyDescent="0.2">
      <c r="A19" s="137"/>
      <c r="B19" s="125" t="s">
        <v>150</v>
      </c>
      <c r="C19" s="138">
        <v>0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</row>
    <row r="20" spans="1:18" x14ac:dyDescent="0.2">
      <c r="C20" s="134"/>
      <c r="D20" s="115"/>
      <c r="F20" s="133"/>
      <c r="G20" s="133"/>
      <c r="H20" s="133"/>
      <c r="I20" s="133"/>
      <c r="J20" s="133"/>
      <c r="K20" s="133"/>
      <c r="L20" s="133"/>
      <c r="M20" s="133"/>
    </row>
    <row r="21" spans="1:18" x14ac:dyDescent="0.2">
      <c r="B21" s="139" t="s">
        <v>152</v>
      </c>
      <c r="C21" s="134" t="s">
        <v>48</v>
      </c>
      <c r="D21" s="115"/>
    </row>
    <row r="22" spans="1:18" x14ac:dyDescent="0.2">
      <c r="B22" s="139" t="s">
        <v>153</v>
      </c>
      <c r="C22" s="134" t="s">
        <v>92</v>
      </c>
      <c r="D22" s="161" t="s">
        <v>179</v>
      </c>
    </row>
    <row r="23" spans="1:18" s="154" customFormat="1" x14ac:dyDescent="0.2">
      <c r="A23" s="187"/>
      <c r="B23" s="160" t="s">
        <v>178</v>
      </c>
      <c r="C23" s="138" t="s">
        <v>92</v>
      </c>
      <c r="D23" s="161" t="s">
        <v>179</v>
      </c>
      <c r="O23" s="188"/>
      <c r="P23" s="188"/>
      <c r="Q23" s="188"/>
    </row>
    <row r="24" spans="1:18" x14ac:dyDescent="0.2">
      <c r="B24" s="133" t="s">
        <v>154</v>
      </c>
      <c r="C24" s="134" t="s">
        <v>14</v>
      </c>
      <c r="D24" s="115"/>
    </row>
    <row r="25" spans="1:18" x14ac:dyDescent="0.2">
      <c r="B25" s="133" t="s">
        <v>155</v>
      </c>
      <c r="C25" s="134" t="s">
        <v>14</v>
      </c>
      <c r="D25" s="115"/>
    </row>
    <row r="26" spans="1:18" x14ac:dyDescent="0.2">
      <c r="C26" s="134"/>
      <c r="D26" s="115"/>
    </row>
    <row r="27" spans="1:18" x14ac:dyDescent="0.2">
      <c r="B27" s="133" t="s">
        <v>16</v>
      </c>
      <c r="C27" s="134" t="s">
        <v>24</v>
      </c>
      <c r="D27" s="115"/>
      <c r="E27" s="115"/>
    </row>
    <row r="28" spans="1:18" x14ac:dyDescent="0.2">
      <c r="B28" s="133" t="s">
        <v>25</v>
      </c>
      <c r="C28" s="134">
        <v>30</v>
      </c>
      <c r="D28" s="115"/>
    </row>
    <row r="29" spans="1:18" x14ac:dyDescent="0.2">
      <c r="A29" s="133"/>
      <c r="B29" s="133" t="s">
        <v>195</v>
      </c>
      <c r="C29" s="134">
        <v>10</v>
      </c>
      <c r="D29" s="115"/>
      <c r="Q29" s="133"/>
      <c r="R29" s="133"/>
    </row>
    <row r="30" spans="1:18" x14ac:dyDescent="0.2">
      <c r="A30" s="133"/>
      <c r="B30" s="133" t="s">
        <v>190</v>
      </c>
      <c r="C30" s="134">
        <v>1</v>
      </c>
      <c r="D30" s="115"/>
      <c r="Q30" s="133"/>
      <c r="R30" s="133"/>
    </row>
    <row r="31" spans="1:18" x14ac:dyDescent="0.2">
      <c r="C31" s="134"/>
    </row>
    <row r="32" spans="1:18" x14ac:dyDescent="0.2">
      <c r="B32" s="133" t="s">
        <v>157</v>
      </c>
      <c r="C32" s="135">
        <v>-0.2</v>
      </c>
      <c r="F32" s="133"/>
      <c r="G32" s="133"/>
      <c r="H32" s="133"/>
      <c r="I32" s="133"/>
      <c r="J32" s="133"/>
      <c r="K32" s="133"/>
      <c r="L32" s="133"/>
      <c r="M32" s="133"/>
    </row>
    <row r="33" spans="1:18" x14ac:dyDescent="0.2">
      <c r="B33" s="133" t="s">
        <v>221</v>
      </c>
      <c r="C33" s="135">
        <v>1.2</v>
      </c>
      <c r="F33" s="133"/>
      <c r="G33" s="133"/>
      <c r="H33" s="133"/>
      <c r="I33" s="133"/>
      <c r="J33" s="133"/>
      <c r="K33" s="133"/>
      <c r="L33" s="133"/>
      <c r="M33" s="133"/>
    </row>
    <row r="34" spans="1:18" x14ac:dyDescent="0.2">
      <c r="B34" s="133" t="s">
        <v>156</v>
      </c>
      <c r="C34" s="135" t="s">
        <v>24</v>
      </c>
      <c r="F34" s="133"/>
      <c r="G34" s="133"/>
      <c r="H34" s="133"/>
      <c r="I34" s="133"/>
      <c r="J34" s="133"/>
      <c r="K34" s="133"/>
      <c r="L34" s="133"/>
      <c r="M34" s="133"/>
    </row>
    <row r="35" spans="1:18" x14ac:dyDescent="0.2">
      <c r="B35" s="133" t="s">
        <v>158</v>
      </c>
      <c r="C35" s="134" t="s">
        <v>24</v>
      </c>
    </row>
    <row r="36" spans="1:18" x14ac:dyDescent="0.2">
      <c r="B36" s="139"/>
    </row>
    <row r="37" spans="1:18" s="119" customFormat="1" ht="56.25" customHeight="1" x14ac:dyDescent="0.2">
      <c r="A37" s="119" t="s">
        <v>15</v>
      </c>
      <c r="B37" s="119" t="s">
        <v>10</v>
      </c>
      <c r="C37" s="141" t="s">
        <v>11</v>
      </c>
      <c r="D37" s="118" t="s">
        <v>12</v>
      </c>
      <c r="E37" s="116" t="s">
        <v>27</v>
      </c>
      <c r="F37" s="142" t="s">
        <v>133</v>
      </c>
      <c r="G37" s="117" t="s">
        <v>135</v>
      </c>
      <c r="H37" s="142" t="s">
        <v>137</v>
      </c>
      <c r="I37" s="142" t="s">
        <v>136</v>
      </c>
      <c r="J37" s="142" t="s">
        <v>167</v>
      </c>
      <c r="K37" s="142" t="s">
        <v>138</v>
      </c>
      <c r="L37" s="142" t="s">
        <v>149</v>
      </c>
      <c r="M37" s="142" t="s">
        <v>150</v>
      </c>
      <c r="N37" s="141" t="s">
        <v>143</v>
      </c>
      <c r="O37" s="141" t="s">
        <v>145</v>
      </c>
      <c r="P37" s="141" t="s">
        <v>146</v>
      </c>
      <c r="Q37" s="141" t="s">
        <v>147</v>
      </c>
      <c r="R37" s="141" t="s">
        <v>148</v>
      </c>
    </row>
    <row r="38" spans="1:18" ht="13.5" x14ac:dyDescent="0.25">
      <c r="A38" s="144" t="s">
        <v>21</v>
      </c>
      <c r="B38" s="189" t="s">
        <v>222</v>
      </c>
      <c r="C38" s="116"/>
      <c r="D38" s="116"/>
      <c r="E38" s="116"/>
      <c r="F38" s="186"/>
      <c r="G38" s="186"/>
      <c r="H38" s="190"/>
      <c r="I38" s="190"/>
      <c r="J38" s="190"/>
      <c r="K38" s="190"/>
      <c r="L38" s="190"/>
      <c r="M38" s="190"/>
      <c r="N38" s="116"/>
      <c r="O38" s="116"/>
      <c r="P38" s="116"/>
    </row>
    <row r="39" spans="1:18" ht="13.5" x14ac:dyDescent="0.25">
      <c r="A39" s="144"/>
      <c r="B39" s="133" t="s">
        <v>223</v>
      </c>
      <c r="C39" s="116">
        <v>30</v>
      </c>
      <c r="D39" s="116">
        <f>IF(A39="//","0",0)</f>
        <v>0</v>
      </c>
      <c r="E39" s="191" t="s">
        <v>224</v>
      </c>
      <c r="F39" s="117" t="s">
        <v>90</v>
      </c>
      <c r="G39" s="186" t="s">
        <v>14</v>
      </c>
      <c r="H39" s="190">
        <v>0</v>
      </c>
      <c r="I39" s="190">
        <v>1.1000000000000001</v>
      </c>
      <c r="J39" s="186">
        <v>0</v>
      </c>
      <c r="K39" s="186">
        <v>100</v>
      </c>
      <c r="L39" s="190">
        <v>1.5</v>
      </c>
      <c r="M39" s="190">
        <v>2</v>
      </c>
      <c r="N39" s="116">
        <v>40</v>
      </c>
      <c r="O39" s="116">
        <v>100</v>
      </c>
      <c r="P39" s="116">
        <v>100</v>
      </c>
      <c r="Q39" s="116">
        <v>110</v>
      </c>
      <c r="R39" s="116">
        <v>110</v>
      </c>
    </row>
    <row r="40" spans="1:18" ht="13.5" x14ac:dyDescent="0.25">
      <c r="A40" s="144"/>
      <c r="B40" s="133" t="s">
        <v>225</v>
      </c>
      <c r="C40" s="116">
        <v>30</v>
      </c>
      <c r="D40" s="116">
        <v>0</v>
      </c>
      <c r="E40" s="159"/>
      <c r="F40" s="117"/>
      <c r="G40" s="186" t="s">
        <v>24</v>
      </c>
      <c r="H40" s="190"/>
      <c r="I40" s="190">
        <v>0.85</v>
      </c>
      <c r="J40" s="186">
        <v>100</v>
      </c>
      <c r="K40" s="186">
        <v>0</v>
      </c>
      <c r="L40" s="190"/>
      <c r="M40" s="190"/>
      <c r="N40" s="116"/>
      <c r="O40" s="116"/>
      <c r="P40" s="116"/>
    </row>
    <row r="41" spans="1:18" ht="13.5" x14ac:dyDescent="0.25">
      <c r="A41" s="144"/>
      <c r="C41" s="116"/>
      <c r="D41" s="116"/>
      <c r="E41" s="116"/>
      <c r="F41" s="117"/>
      <c r="G41" s="186"/>
      <c r="H41" s="190"/>
      <c r="I41" s="190"/>
      <c r="J41" s="190"/>
      <c r="K41" s="190"/>
      <c r="L41" s="190"/>
      <c r="M41" s="190"/>
      <c r="N41" s="116"/>
      <c r="O41" s="116"/>
      <c r="P41" s="116"/>
    </row>
    <row r="42" spans="1:18" x14ac:dyDescent="0.2">
      <c r="A42" s="112" t="s">
        <v>30</v>
      </c>
      <c r="B42" s="192" t="s">
        <v>31</v>
      </c>
      <c r="C42" s="191" t="s">
        <v>224</v>
      </c>
      <c r="L42" s="193"/>
      <c r="M42" s="193"/>
      <c r="N42" s="125"/>
      <c r="Q42" s="133"/>
    </row>
    <row r="43" spans="1:18" x14ac:dyDescent="0.2">
      <c r="B43" s="194" t="s">
        <v>8</v>
      </c>
      <c r="C43" s="195" t="s">
        <v>88</v>
      </c>
      <c r="L43" s="193"/>
      <c r="M43" s="193"/>
      <c r="N43" s="125"/>
      <c r="Q43" s="133"/>
    </row>
    <row r="44" spans="1:18" x14ac:dyDescent="0.2">
      <c r="B44" s="194" t="s">
        <v>17</v>
      </c>
      <c r="C44" s="196">
        <v>30</v>
      </c>
      <c r="L44" s="193"/>
      <c r="M44" s="193"/>
      <c r="N44" s="125"/>
      <c r="Q44" s="133"/>
    </row>
    <row r="45" spans="1:18" x14ac:dyDescent="0.2">
      <c r="B45" s="194" t="s">
        <v>45</v>
      </c>
      <c r="C45" s="195" t="s">
        <v>33</v>
      </c>
      <c r="L45" s="193"/>
      <c r="M45" s="193"/>
      <c r="N45" s="125"/>
      <c r="Q45" s="133"/>
    </row>
    <row r="46" spans="1:18" x14ac:dyDescent="0.2">
      <c r="B46" s="194"/>
      <c r="C46" s="197"/>
      <c r="L46" s="193"/>
      <c r="M46" s="193"/>
      <c r="N46" s="125"/>
      <c r="Q46" s="133"/>
    </row>
    <row r="47" spans="1:18" x14ac:dyDescent="0.2">
      <c r="B47" s="194" t="s">
        <v>89</v>
      </c>
      <c r="C47" s="196" t="s">
        <v>164</v>
      </c>
      <c r="L47" s="193"/>
      <c r="M47" s="193"/>
      <c r="N47" s="125"/>
      <c r="Q47" s="133"/>
    </row>
    <row r="48" spans="1:18" x14ac:dyDescent="0.2">
      <c r="B48" s="194" t="s">
        <v>35</v>
      </c>
      <c r="C48" s="196">
        <v>0.6</v>
      </c>
      <c r="L48" s="193"/>
      <c r="M48" s="193"/>
      <c r="N48" s="125"/>
      <c r="Q48" s="133"/>
    </row>
    <row r="49" spans="1:17" x14ac:dyDescent="0.2">
      <c r="B49" s="194"/>
      <c r="C49" s="197"/>
      <c r="L49" s="193"/>
      <c r="M49" s="193"/>
      <c r="N49" s="125"/>
      <c r="Q49" s="133"/>
    </row>
    <row r="50" spans="1:17" x14ac:dyDescent="0.2">
      <c r="B50" s="194" t="s">
        <v>91</v>
      </c>
      <c r="C50" s="197"/>
      <c r="L50" s="193"/>
      <c r="M50" s="193"/>
      <c r="N50" s="125"/>
      <c r="Q50" s="133"/>
    </row>
    <row r="51" spans="1:17" x14ac:dyDescent="0.2">
      <c r="B51" s="194" t="s">
        <v>135</v>
      </c>
      <c r="C51" s="196" t="s">
        <v>92</v>
      </c>
      <c r="L51" s="193"/>
      <c r="M51" s="193"/>
      <c r="N51" s="125"/>
      <c r="Q51" s="133"/>
    </row>
    <row r="52" spans="1:17" x14ac:dyDescent="0.2">
      <c r="B52" s="194" t="s">
        <v>136</v>
      </c>
      <c r="C52" s="196">
        <v>0.6</v>
      </c>
      <c r="L52" s="193"/>
      <c r="M52" s="193"/>
      <c r="N52" s="125"/>
      <c r="Q52" s="133"/>
    </row>
    <row r="53" spans="1:17" x14ac:dyDescent="0.2">
      <c r="B53" s="194"/>
      <c r="C53" s="197"/>
      <c r="L53" s="193"/>
      <c r="M53" s="193"/>
      <c r="N53" s="125"/>
      <c r="Q53" s="133"/>
    </row>
    <row r="54" spans="1:17" x14ac:dyDescent="0.2">
      <c r="A54" s="133"/>
      <c r="B54" s="194" t="s">
        <v>8</v>
      </c>
      <c r="C54" s="195" t="s">
        <v>9</v>
      </c>
      <c r="N54" s="125"/>
      <c r="Q54" s="133"/>
    </row>
    <row r="55" spans="1:17" x14ac:dyDescent="0.2">
      <c r="A55" s="133"/>
      <c r="B55" s="194" t="s">
        <v>17</v>
      </c>
      <c r="C55" s="196">
        <v>2</v>
      </c>
      <c r="N55" s="125"/>
      <c r="Q55" s="133"/>
    </row>
    <row r="56" spans="1:17" x14ac:dyDescent="0.2">
      <c r="A56" s="133"/>
      <c r="B56" s="194" t="s">
        <v>167</v>
      </c>
      <c r="C56" s="196">
        <v>100</v>
      </c>
      <c r="N56" s="125"/>
      <c r="Q56" s="133"/>
    </row>
    <row r="57" spans="1:17" x14ac:dyDescent="0.2">
      <c r="A57" s="133"/>
      <c r="B57" s="194" t="s">
        <v>138</v>
      </c>
      <c r="C57" s="196">
        <v>100</v>
      </c>
      <c r="N57" s="125"/>
      <c r="Q57" s="133"/>
    </row>
    <row r="58" spans="1:17" x14ac:dyDescent="0.2">
      <c r="B58" s="194"/>
      <c r="C58" s="197"/>
      <c r="L58" s="193"/>
      <c r="M58" s="193"/>
      <c r="N58" s="125"/>
      <c r="Q58" s="133"/>
    </row>
    <row r="59" spans="1:17" x14ac:dyDescent="0.2">
      <c r="B59" s="194" t="s">
        <v>8</v>
      </c>
      <c r="C59" s="195" t="s">
        <v>88</v>
      </c>
      <c r="L59" s="193"/>
      <c r="M59" s="193"/>
      <c r="N59" s="125"/>
      <c r="Q59" s="133"/>
    </row>
    <row r="60" spans="1:17" x14ac:dyDescent="0.2">
      <c r="B60" s="194" t="s">
        <v>17</v>
      </c>
      <c r="C60" s="196">
        <v>30</v>
      </c>
      <c r="L60" s="193"/>
      <c r="M60" s="193"/>
      <c r="N60" s="125"/>
      <c r="Q60" s="133"/>
    </row>
    <row r="61" spans="1:17" x14ac:dyDescent="0.2">
      <c r="B61" s="194" t="s">
        <v>45</v>
      </c>
      <c r="C61" s="195" t="s">
        <v>33</v>
      </c>
      <c r="L61" s="193"/>
      <c r="M61" s="193"/>
      <c r="N61" s="125"/>
      <c r="Q61" s="133"/>
    </row>
    <row r="62" spans="1:17" x14ac:dyDescent="0.2">
      <c r="B62" s="194"/>
      <c r="C62" s="197"/>
      <c r="L62" s="193"/>
      <c r="M62" s="193"/>
      <c r="N62" s="125"/>
      <c r="Q62" s="133"/>
    </row>
    <row r="63" spans="1:17" x14ac:dyDescent="0.2">
      <c r="B63" s="194" t="s">
        <v>89</v>
      </c>
      <c r="C63" s="196" t="s">
        <v>164</v>
      </c>
      <c r="L63" s="193"/>
      <c r="M63" s="193"/>
      <c r="N63" s="125"/>
      <c r="Q63" s="133"/>
    </row>
    <row r="64" spans="1:17" x14ac:dyDescent="0.2">
      <c r="B64" s="194" t="s">
        <v>35</v>
      </c>
      <c r="C64" s="196">
        <v>0.6</v>
      </c>
      <c r="L64" s="193"/>
      <c r="M64" s="193"/>
      <c r="N64" s="125"/>
      <c r="Q64" s="133"/>
    </row>
    <row r="65" spans="1:18" x14ac:dyDescent="0.2">
      <c r="B65" s="194"/>
      <c r="C65" s="197"/>
      <c r="L65" s="193"/>
      <c r="M65" s="193"/>
      <c r="N65" s="125"/>
      <c r="Q65" s="133"/>
    </row>
    <row r="66" spans="1:18" x14ac:dyDescent="0.2">
      <c r="B66" s="194" t="s">
        <v>91</v>
      </c>
      <c r="C66" s="197"/>
      <c r="L66" s="193"/>
      <c r="M66" s="193"/>
      <c r="N66" s="125"/>
      <c r="Q66" s="133"/>
    </row>
    <row r="67" spans="1:18" x14ac:dyDescent="0.2">
      <c r="B67" s="194" t="s">
        <v>135</v>
      </c>
      <c r="C67" s="196" t="s">
        <v>92</v>
      </c>
      <c r="L67" s="193"/>
      <c r="M67" s="193"/>
      <c r="N67" s="125"/>
      <c r="Q67" s="133"/>
    </row>
    <row r="68" spans="1:18" x14ac:dyDescent="0.2">
      <c r="B68" s="194" t="s">
        <v>136</v>
      </c>
      <c r="C68" s="196">
        <v>0.6</v>
      </c>
      <c r="L68" s="193"/>
      <c r="M68" s="193"/>
      <c r="N68" s="125"/>
      <c r="Q68" s="133"/>
    </row>
    <row r="69" spans="1:18" x14ac:dyDescent="0.2">
      <c r="A69" s="133"/>
      <c r="B69" s="194"/>
      <c r="C69" s="194"/>
      <c r="F69" s="133"/>
      <c r="G69" s="133"/>
      <c r="H69" s="133"/>
      <c r="I69" s="133"/>
      <c r="J69" s="133"/>
      <c r="K69" s="133"/>
      <c r="L69" s="133"/>
      <c r="M69" s="133"/>
      <c r="Q69" s="133"/>
      <c r="R69" s="133"/>
    </row>
    <row r="70" spans="1:18" x14ac:dyDescent="0.2">
      <c r="A70" s="133"/>
      <c r="B70" s="194" t="s">
        <v>8</v>
      </c>
      <c r="C70" s="195" t="s">
        <v>226</v>
      </c>
      <c r="N70" s="125"/>
      <c r="Q70" s="133"/>
    </row>
    <row r="71" spans="1:18" x14ac:dyDescent="0.2">
      <c r="A71" s="133"/>
      <c r="B71" s="194" t="s">
        <v>17</v>
      </c>
      <c r="C71" s="196">
        <v>5</v>
      </c>
      <c r="N71" s="125"/>
      <c r="Q71" s="133"/>
    </row>
    <row r="72" spans="1:18" x14ac:dyDescent="0.2">
      <c r="A72" s="133"/>
      <c r="B72" s="194" t="s">
        <v>136</v>
      </c>
      <c r="C72" s="198">
        <v>0.75</v>
      </c>
      <c r="G72" s="133"/>
      <c r="N72" s="125"/>
      <c r="Q72" s="133"/>
    </row>
    <row r="73" spans="1:18" x14ac:dyDescent="0.2">
      <c r="A73" s="133"/>
      <c r="B73" s="194"/>
      <c r="C73" s="197"/>
      <c r="G73" s="133"/>
      <c r="N73" s="125"/>
      <c r="Q73" s="133"/>
    </row>
    <row r="74" spans="1:18" x14ac:dyDescent="0.2">
      <c r="A74" s="133"/>
      <c r="B74" s="194" t="s">
        <v>8</v>
      </c>
      <c r="C74" s="195" t="s">
        <v>9</v>
      </c>
      <c r="N74" s="125"/>
      <c r="Q74" s="133"/>
    </row>
    <row r="75" spans="1:18" x14ac:dyDescent="0.2">
      <c r="A75" s="133"/>
      <c r="B75" s="194" t="s">
        <v>17</v>
      </c>
      <c r="C75" s="196">
        <v>20</v>
      </c>
      <c r="N75" s="125"/>
      <c r="Q75" s="133"/>
    </row>
    <row r="76" spans="1:18" x14ac:dyDescent="0.2">
      <c r="A76" s="133"/>
      <c r="B76" s="194" t="s">
        <v>167</v>
      </c>
      <c r="C76" s="196">
        <v>100</v>
      </c>
      <c r="N76" s="125"/>
      <c r="Q76" s="133"/>
    </row>
    <row r="77" spans="1:18" x14ac:dyDescent="0.2">
      <c r="A77" s="133"/>
      <c r="B77" s="194" t="s">
        <v>138</v>
      </c>
      <c r="C77" s="196">
        <v>0</v>
      </c>
      <c r="N77" s="125"/>
      <c r="Q77" s="133"/>
    </row>
    <row r="78" spans="1:18" x14ac:dyDescent="0.2">
      <c r="A78" s="133"/>
      <c r="B78" s="194"/>
      <c r="C78" s="196"/>
      <c r="N78" s="125"/>
      <c r="Q78" s="133"/>
    </row>
    <row r="79" spans="1:18" x14ac:dyDescent="0.2">
      <c r="A79" s="133"/>
      <c r="B79" s="194" t="s">
        <v>8</v>
      </c>
      <c r="C79" s="195" t="s">
        <v>226</v>
      </c>
      <c r="N79" s="125"/>
      <c r="Q79" s="133"/>
    </row>
    <row r="80" spans="1:18" x14ac:dyDescent="0.2">
      <c r="A80" s="133"/>
      <c r="B80" s="194" t="s">
        <v>17</v>
      </c>
      <c r="C80" s="196">
        <v>5</v>
      </c>
      <c r="N80" s="125"/>
      <c r="Q80" s="133"/>
    </row>
    <row r="81" spans="1:18" x14ac:dyDescent="0.2">
      <c r="A81" s="133"/>
      <c r="B81" s="194" t="s">
        <v>136</v>
      </c>
      <c r="C81" s="198">
        <v>0.85</v>
      </c>
      <c r="G81" s="133"/>
      <c r="N81" s="125"/>
      <c r="Q81" s="133"/>
    </row>
    <row r="82" spans="1:18" s="125" customFormat="1" x14ac:dyDescent="0.2">
      <c r="C82" s="138"/>
      <c r="P82" s="117"/>
      <c r="Q82" s="117"/>
    </row>
    <row r="83" spans="1:18" ht="12" customHeight="1" x14ac:dyDescent="0.2">
      <c r="A83" s="112" t="s">
        <v>7</v>
      </c>
    </row>
    <row r="84" spans="1:18" ht="12" customHeight="1" x14ac:dyDescent="0.2"/>
    <row r="85" spans="1:18" ht="12" customHeight="1" x14ac:dyDescent="0.2"/>
    <row r="86" spans="1:18" ht="12" customHeight="1" x14ac:dyDescent="0.2"/>
    <row r="87" spans="1:18" ht="12" customHeight="1" x14ac:dyDescent="0.2"/>
    <row r="88" spans="1:18" s="112" customFormat="1" ht="12" customHeight="1" x14ac:dyDescent="0.2">
      <c r="B88" s="133"/>
      <c r="C88" s="133"/>
      <c r="D88" s="133"/>
      <c r="E88" s="133"/>
      <c r="F88" s="125"/>
      <c r="G88" s="125"/>
      <c r="H88" s="125"/>
      <c r="I88" s="125"/>
      <c r="J88" s="125"/>
      <c r="K88" s="125"/>
      <c r="L88" s="125"/>
      <c r="M88" s="125"/>
      <c r="N88" s="133"/>
      <c r="O88" s="133"/>
      <c r="P88" s="133"/>
      <c r="Q88" s="116"/>
      <c r="R88" s="116"/>
    </row>
    <row r="89" spans="1:18" s="112" customFormat="1" ht="12" customHeight="1" x14ac:dyDescent="0.2">
      <c r="B89" s="133"/>
      <c r="C89" s="133"/>
      <c r="D89" s="133"/>
      <c r="E89" s="133"/>
      <c r="F89" s="125"/>
      <c r="G89" s="125"/>
      <c r="H89" s="125"/>
      <c r="I89" s="125"/>
      <c r="J89" s="125"/>
      <c r="K89" s="125"/>
      <c r="L89" s="125"/>
      <c r="M89" s="125"/>
      <c r="N89" s="133"/>
      <c r="O89" s="133"/>
      <c r="P89" s="133"/>
      <c r="Q89" s="116"/>
      <c r="R89" s="116"/>
    </row>
    <row r="90" spans="1:18" s="112" customFormat="1" ht="12" customHeight="1" x14ac:dyDescent="0.2">
      <c r="B90" s="133"/>
      <c r="C90" s="133"/>
      <c r="D90" s="133"/>
      <c r="E90" s="133"/>
      <c r="F90" s="125"/>
      <c r="G90" s="125"/>
      <c r="H90" s="125"/>
      <c r="I90" s="125"/>
      <c r="J90" s="125"/>
      <c r="K90" s="125"/>
      <c r="L90" s="125"/>
      <c r="M90" s="125"/>
      <c r="N90" s="133"/>
      <c r="O90" s="133"/>
      <c r="P90" s="133"/>
      <c r="Q90" s="116"/>
      <c r="R90" s="116"/>
    </row>
    <row r="91" spans="1:18" s="112" customFormat="1" ht="12" customHeight="1" x14ac:dyDescent="0.2">
      <c r="B91" s="133"/>
      <c r="C91" s="133"/>
      <c r="D91" s="133"/>
      <c r="E91" s="133"/>
      <c r="F91" s="125"/>
      <c r="G91" s="125"/>
      <c r="H91" s="125"/>
      <c r="I91" s="125"/>
      <c r="J91" s="125"/>
      <c r="K91" s="125"/>
      <c r="L91" s="125"/>
      <c r="M91" s="125"/>
      <c r="N91" s="133"/>
      <c r="O91" s="133"/>
      <c r="P91" s="133"/>
      <c r="Q91" s="116"/>
      <c r="R91" s="116"/>
    </row>
    <row r="92" spans="1:18" s="112" customFormat="1" ht="12" customHeight="1" x14ac:dyDescent="0.2">
      <c r="B92" s="133"/>
      <c r="C92" s="133"/>
      <c r="D92" s="133"/>
      <c r="E92" s="133"/>
      <c r="F92" s="125"/>
      <c r="G92" s="125"/>
      <c r="H92" s="125"/>
      <c r="I92" s="125"/>
      <c r="J92" s="125"/>
      <c r="K92" s="125"/>
      <c r="L92" s="125"/>
      <c r="M92" s="125"/>
      <c r="N92" s="133"/>
      <c r="O92" s="133"/>
      <c r="P92" s="133"/>
      <c r="Q92" s="116"/>
      <c r="R92" s="116"/>
    </row>
    <row r="93" spans="1:18" s="112" customFormat="1" ht="12" customHeight="1" x14ac:dyDescent="0.2">
      <c r="B93" s="133"/>
      <c r="C93" s="133"/>
      <c r="D93" s="133"/>
      <c r="E93" s="133"/>
      <c r="F93" s="125"/>
      <c r="G93" s="125"/>
      <c r="H93" s="125"/>
      <c r="I93" s="125"/>
      <c r="J93" s="125"/>
      <c r="K93" s="125"/>
      <c r="L93" s="125"/>
      <c r="M93" s="125"/>
      <c r="N93" s="133"/>
      <c r="O93" s="133"/>
      <c r="P93" s="133"/>
      <c r="Q93" s="116"/>
      <c r="R93" s="116"/>
    </row>
    <row r="94" spans="1:18" s="112" customFormat="1" ht="12" customHeight="1" x14ac:dyDescent="0.2">
      <c r="B94" s="133"/>
      <c r="C94" s="133"/>
      <c r="D94" s="133"/>
      <c r="E94" s="133"/>
      <c r="F94" s="125"/>
      <c r="G94" s="125"/>
      <c r="H94" s="125"/>
      <c r="I94" s="125"/>
      <c r="J94" s="125"/>
      <c r="K94" s="125"/>
      <c r="L94" s="125"/>
      <c r="M94" s="125"/>
      <c r="N94" s="133"/>
      <c r="O94" s="133"/>
      <c r="P94" s="133"/>
      <c r="Q94" s="116"/>
      <c r="R94" s="116"/>
    </row>
    <row r="95" spans="1:18" s="112" customFormat="1" ht="12" customHeight="1" x14ac:dyDescent="0.2">
      <c r="B95" s="133"/>
      <c r="C95" s="133"/>
      <c r="D95" s="133"/>
      <c r="E95" s="133"/>
      <c r="F95" s="125"/>
      <c r="G95" s="125"/>
      <c r="H95" s="125"/>
      <c r="I95" s="125"/>
      <c r="J95" s="125"/>
      <c r="K95" s="125"/>
      <c r="L95" s="125"/>
      <c r="M95" s="125"/>
      <c r="N95" s="133"/>
      <c r="O95" s="133"/>
      <c r="P95" s="133"/>
      <c r="Q95" s="116"/>
      <c r="R95" s="116"/>
    </row>
    <row r="96" spans="1:18" s="112" customFormat="1" ht="12" customHeight="1" x14ac:dyDescent="0.2">
      <c r="B96" s="133"/>
      <c r="C96" s="133"/>
      <c r="D96" s="133"/>
      <c r="E96" s="133"/>
      <c r="F96" s="125"/>
      <c r="G96" s="125"/>
      <c r="H96" s="125"/>
      <c r="I96" s="125"/>
      <c r="J96" s="125"/>
      <c r="K96" s="125"/>
      <c r="L96" s="125"/>
      <c r="M96" s="125"/>
      <c r="N96" s="133"/>
      <c r="O96" s="133"/>
      <c r="P96" s="133"/>
      <c r="Q96" s="116"/>
      <c r="R96" s="116"/>
    </row>
    <row r="97" spans="2:18" s="112" customFormat="1" ht="12" customHeight="1" x14ac:dyDescent="0.2">
      <c r="B97" s="133"/>
      <c r="C97" s="133"/>
      <c r="D97" s="133"/>
      <c r="E97" s="133"/>
      <c r="F97" s="125"/>
      <c r="G97" s="125"/>
      <c r="H97" s="125"/>
      <c r="I97" s="125"/>
      <c r="J97" s="125"/>
      <c r="K97" s="125"/>
      <c r="L97" s="125"/>
      <c r="M97" s="125"/>
      <c r="N97" s="133"/>
      <c r="O97" s="133"/>
      <c r="P97" s="133"/>
      <c r="Q97" s="116"/>
      <c r="R97" s="116"/>
    </row>
    <row r="98" spans="2:18" s="112" customFormat="1" ht="12" customHeight="1" x14ac:dyDescent="0.2">
      <c r="B98" s="133"/>
      <c r="C98" s="133"/>
      <c r="D98" s="133"/>
      <c r="E98" s="133"/>
      <c r="F98" s="125"/>
      <c r="G98" s="125"/>
      <c r="H98" s="125"/>
      <c r="I98" s="125"/>
      <c r="J98" s="125"/>
      <c r="K98" s="125"/>
      <c r="L98" s="125"/>
      <c r="M98" s="125"/>
      <c r="N98" s="133"/>
      <c r="O98" s="133"/>
      <c r="P98" s="133"/>
      <c r="Q98" s="116"/>
      <c r="R98" s="116"/>
    </row>
    <row r="99" spans="2:18" s="112" customFormat="1" ht="12" customHeight="1" x14ac:dyDescent="0.2">
      <c r="B99" s="133"/>
      <c r="C99" s="133"/>
      <c r="D99" s="133"/>
      <c r="E99" s="133"/>
      <c r="F99" s="125"/>
      <c r="G99" s="125"/>
      <c r="H99" s="125"/>
      <c r="I99" s="125"/>
      <c r="J99" s="125"/>
      <c r="K99" s="125"/>
      <c r="L99" s="125"/>
      <c r="M99" s="125"/>
      <c r="N99" s="133"/>
      <c r="O99" s="133"/>
      <c r="P99" s="133"/>
      <c r="Q99" s="116"/>
      <c r="R99" s="116"/>
    </row>
    <row r="100" spans="2:18" s="112" customFormat="1" ht="12" customHeight="1" x14ac:dyDescent="0.2">
      <c r="B100" s="133"/>
      <c r="C100" s="133"/>
      <c r="D100" s="133"/>
      <c r="E100" s="133"/>
      <c r="F100" s="125"/>
      <c r="G100" s="125"/>
      <c r="H100" s="125"/>
      <c r="I100" s="125"/>
      <c r="J100" s="125"/>
      <c r="K100" s="125"/>
      <c r="L100" s="125"/>
      <c r="M100" s="125"/>
      <c r="N100" s="133"/>
      <c r="O100" s="133"/>
      <c r="P100" s="133"/>
      <c r="Q100" s="116"/>
      <c r="R100" s="116"/>
    </row>
    <row r="101" spans="2:18" s="112" customFormat="1" ht="12" customHeight="1" x14ac:dyDescent="0.2">
      <c r="B101" s="133"/>
      <c r="C101" s="133"/>
      <c r="D101" s="133"/>
      <c r="E101" s="133"/>
      <c r="F101" s="125"/>
      <c r="G101" s="125"/>
      <c r="H101" s="125"/>
      <c r="I101" s="125"/>
      <c r="J101" s="125"/>
      <c r="K101" s="125"/>
      <c r="L101" s="125"/>
      <c r="M101" s="125"/>
      <c r="N101" s="133"/>
      <c r="O101" s="133"/>
      <c r="P101" s="133"/>
      <c r="Q101" s="116"/>
      <c r="R101" s="116"/>
    </row>
    <row r="102" spans="2:18" s="112" customFormat="1" ht="12" customHeight="1" x14ac:dyDescent="0.2">
      <c r="B102" s="133"/>
      <c r="C102" s="133"/>
      <c r="D102" s="133"/>
      <c r="E102" s="133"/>
      <c r="F102" s="125"/>
      <c r="G102" s="125"/>
      <c r="H102" s="125"/>
      <c r="I102" s="125"/>
      <c r="J102" s="125"/>
      <c r="K102" s="125"/>
      <c r="L102" s="125"/>
      <c r="M102" s="125"/>
      <c r="N102" s="133"/>
      <c r="O102" s="133"/>
      <c r="P102" s="133"/>
      <c r="Q102" s="116"/>
      <c r="R102" s="116"/>
    </row>
    <row r="103" spans="2:18" s="112" customFormat="1" ht="12" customHeight="1" x14ac:dyDescent="0.2">
      <c r="B103" s="133"/>
      <c r="C103" s="133"/>
      <c r="D103" s="133"/>
      <c r="E103" s="133"/>
      <c r="F103" s="125"/>
      <c r="G103" s="125"/>
      <c r="H103" s="125"/>
      <c r="I103" s="125"/>
      <c r="J103" s="125"/>
      <c r="K103" s="125"/>
      <c r="L103" s="125"/>
      <c r="M103" s="125"/>
      <c r="N103" s="133"/>
      <c r="O103" s="133"/>
      <c r="P103" s="133"/>
      <c r="Q103" s="116"/>
      <c r="R103" s="116"/>
    </row>
    <row r="104" spans="2:18" s="112" customFormat="1" ht="12" customHeight="1" x14ac:dyDescent="0.2">
      <c r="B104" s="133"/>
      <c r="C104" s="133"/>
      <c r="D104" s="133"/>
      <c r="E104" s="133"/>
      <c r="F104" s="125"/>
      <c r="G104" s="125"/>
      <c r="H104" s="125"/>
      <c r="I104" s="125"/>
      <c r="J104" s="125"/>
      <c r="K104" s="125"/>
      <c r="L104" s="125"/>
      <c r="M104" s="125"/>
      <c r="N104" s="133"/>
      <c r="O104" s="133"/>
      <c r="P104" s="133"/>
      <c r="Q104" s="116"/>
      <c r="R104" s="116"/>
    </row>
    <row r="105" spans="2:18" s="112" customFormat="1" ht="12" customHeight="1" x14ac:dyDescent="0.2">
      <c r="B105" s="133"/>
      <c r="C105" s="133"/>
      <c r="D105" s="133"/>
      <c r="E105" s="133"/>
      <c r="F105" s="125"/>
      <c r="G105" s="125"/>
      <c r="H105" s="125"/>
      <c r="I105" s="125"/>
      <c r="J105" s="125"/>
      <c r="K105" s="125"/>
      <c r="L105" s="125"/>
      <c r="M105" s="125"/>
      <c r="N105" s="133"/>
      <c r="O105" s="133"/>
      <c r="P105" s="133"/>
      <c r="Q105" s="116"/>
      <c r="R105" s="116"/>
    </row>
    <row r="106" spans="2:18" s="112" customFormat="1" ht="12" customHeight="1" x14ac:dyDescent="0.2">
      <c r="B106" s="133"/>
      <c r="C106" s="133"/>
      <c r="D106" s="133"/>
      <c r="E106" s="133"/>
      <c r="F106" s="125"/>
      <c r="G106" s="125"/>
      <c r="H106" s="125"/>
      <c r="I106" s="125"/>
      <c r="J106" s="125"/>
      <c r="K106" s="125"/>
      <c r="L106" s="125"/>
      <c r="M106" s="125"/>
      <c r="N106" s="133"/>
      <c r="O106" s="133"/>
      <c r="P106" s="133"/>
      <c r="Q106" s="116"/>
      <c r="R106" s="116"/>
    </row>
    <row r="107" spans="2:18" s="112" customFormat="1" ht="12" customHeight="1" x14ac:dyDescent="0.2">
      <c r="B107" s="133"/>
      <c r="C107" s="133"/>
      <c r="D107" s="133"/>
      <c r="E107" s="133"/>
      <c r="F107" s="125"/>
      <c r="G107" s="125"/>
      <c r="H107" s="125"/>
      <c r="I107" s="125"/>
      <c r="J107" s="125"/>
      <c r="K107" s="125"/>
      <c r="L107" s="125"/>
      <c r="M107" s="125"/>
      <c r="N107" s="133"/>
      <c r="O107" s="133"/>
      <c r="P107" s="133"/>
      <c r="Q107" s="116"/>
      <c r="R107" s="116"/>
    </row>
    <row r="108" spans="2:18" s="112" customFormat="1" ht="12" customHeight="1" x14ac:dyDescent="0.2">
      <c r="B108" s="133"/>
      <c r="C108" s="133"/>
      <c r="D108" s="133"/>
      <c r="E108" s="133"/>
      <c r="F108" s="125"/>
      <c r="G108" s="125"/>
      <c r="H108" s="125"/>
      <c r="I108" s="125"/>
      <c r="J108" s="125"/>
      <c r="K108" s="125"/>
      <c r="L108" s="125"/>
      <c r="M108" s="125"/>
      <c r="N108" s="133"/>
      <c r="O108" s="133"/>
      <c r="P108" s="133"/>
      <c r="Q108" s="116"/>
      <c r="R108" s="116"/>
    </row>
    <row r="109" spans="2:18" s="112" customFormat="1" ht="12" customHeight="1" x14ac:dyDescent="0.2">
      <c r="B109" s="133"/>
      <c r="C109" s="133"/>
      <c r="D109" s="133"/>
      <c r="E109" s="133"/>
      <c r="F109" s="125"/>
      <c r="G109" s="125"/>
      <c r="H109" s="125"/>
      <c r="I109" s="125"/>
      <c r="J109" s="125"/>
      <c r="K109" s="125"/>
      <c r="L109" s="125"/>
      <c r="M109" s="125"/>
      <c r="N109" s="133"/>
      <c r="O109" s="133"/>
      <c r="P109" s="133"/>
      <c r="Q109" s="116"/>
      <c r="R109" s="116"/>
    </row>
    <row r="110" spans="2:18" s="112" customFormat="1" ht="12" customHeight="1" x14ac:dyDescent="0.2">
      <c r="B110" s="133"/>
      <c r="C110" s="133"/>
      <c r="D110" s="133"/>
      <c r="E110" s="133"/>
      <c r="F110" s="125"/>
      <c r="G110" s="125"/>
      <c r="H110" s="125"/>
      <c r="I110" s="125"/>
      <c r="J110" s="125"/>
      <c r="K110" s="125"/>
      <c r="L110" s="125"/>
      <c r="M110" s="125"/>
      <c r="N110" s="133"/>
      <c r="O110" s="133"/>
      <c r="P110" s="133"/>
      <c r="Q110" s="116"/>
      <c r="R110" s="116"/>
    </row>
    <row r="111" spans="2:18" s="112" customFormat="1" ht="12" customHeight="1" x14ac:dyDescent="0.2">
      <c r="B111" s="133"/>
      <c r="C111" s="133"/>
      <c r="D111" s="133"/>
      <c r="E111" s="133"/>
      <c r="F111" s="125"/>
      <c r="G111" s="125"/>
      <c r="H111" s="125"/>
      <c r="I111" s="125"/>
      <c r="J111" s="125"/>
      <c r="K111" s="125"/>
      <c r="L111" s="125"/>
      <c r="M111" s="125"/>
      <c r="N111" s="133"/>
      <c r="O111" s="133"/>
      <c r="P111" s="133"/>
      <c r="Q111" s="116"/>
      <c r="R111" s="116"/>
    </row>
    <row r="112" spans="2:18" s="112" customFormat="1" ht="12" customHeight="1" x14ac:dyDescent="0.2">
      <c r="B112" s="133"/>
      <c r="C112" s="133"/>
      <c r="D112" s="133"/>
      <c r="E112" s="133"/>
      <c r="F112" s="125"/>
      <c r="G112" s="125"/>
      <c r="H112" s="125"/>
      <c r="I112" s="125"/>
      <c r="J112" s="125"/>
      <c r="K112" s="125"/>
      <c r="L112" s="125"/>
      <c r="M112" s="125"/>
      <c r="N112" s="133"/>
      <c r="O112" s="133"/>
      <c r="P112" s="133"/>
      <c r="Q112" s="116"/>
      <c r="R112" s="116"/>
    </row>
    <row r="113" spans="2:18" s="112" customFormat="1" ht="12" customHeight="1" x14ac:dyDescent="0.2">
      <c r="B113" s="133"/>
      <c r="C113" s="133"/>
      <c r="D113" s="133"/>
      <c r="E113" s="133"/>
      <c r="F113" s="125"/>
      <c r="G113" s="125"/>
      <c r="H113" s="125"/>
      <c r="I113" s="125"/>
      <c r="J113" s="125"/>
      <c r="K113" s="125"/>
      <c r="L113" s="125"/>
      <c r="M113" s="125"/>
      <c r="N113" s="133"/>
      <c r="O113" s="133"/>
      <c r="P113" s="133"/>
      <c r="Q113" s="116"/>
      <c r="R113" s="116"/>
    </row>
    <row r="114" spans="2:18" s="112" customFormat="1" ht="12" customHeight="1" x14ac:dyDescent="0.2">
      <c r="B114" s="133"/>
      <c r="C114" s="133"/>
      <c r="D114" s="133"/>
      <c r="E114" s="133"/>
      <c r="F114" s="125"/>
      <c r="G114" s="125"/>
      <c r="H114" s="125"/>
      <c r="I114" s="125"/>
      <c r="J114" s="125"/>
      <c r="K114" s="125"/>
      <c r="L114" s="125"/>
      <c r="M114" s="125"/>
      <c r="N114" s="133"/>
      <c r="O114" s="133"/>
      <c r="P114" s="133"/>
      <c r="Q114" s="116"/>
      <c r="R114" s="116"/>
    </row>
    <row r="115" spans="2:18" s="112" customFormat="1" ht="12" customHeight="1" x14ac:dyDescent="0.2">
      <c r="B115" s="133"/>
      <c r="C115" s="133"/>
      <c r="D115" s="133"/>
      <c r="E115" s="133"/>
      <c r="F115" s="125"/>
      <c r="G115" s="125"/>
      <c r="H115" s="125"/>
      <c r="I115" s="125"/>
      <c r="J115" s="125"/>
      <c r="K115" s="125"/>
      <c r="L115" s="125"/>
      <c r="M115" s="125"/>
      <c r="N115" s="133"/>
      <c r="O115" s="133"/>
      <c r="P115" s="133"/>
      <c r="Q115" s="116"/>
      <c r="R115" s="116"/>
    </row>
    <row r="116" spans="2:18" s="112" customFormat="1" ht="12" customHeight="1" x14ac:dyDescent="0.2">
      <c r="B116" s="133"/>
      <c r="C116" s="133"/>
      <c r="D116" s="133"/>
      <c r="E116" s="133"/>
      <c r="F116" s="125"/>
      <c r="G116" s="125"/>
      <c r="H116" s="125"/>
      <c r="I116" s="125"/>
      <c r="J116" s="125"/>
      <c r="K116" s="125"/>
      <c r="L116" s="125"/>
      <c r="M116" s="125"/>
      <c r="N116" s="133"/>
      <c r="O116" s="133"/>
      <c r="P116" s="133"/>
      <c r="Q116" s="116"/>
      <c r="R116" s="116"/>
    </row>
    <row r="117" spans="2:18" s="112" customFormat="1" ht="12" customHeight="1" x14ac:dyDescent="0.2">
      <c r="B117" s="133"/>
      <c r="C117" s="133"/>
      <c r="D117" s="133"/>
      <c r="E117" s="133"/>
      <c r="F117" s="125"/>
      <c r="G117" s="125"/>
      <c r="H117" s="125"/>
      <c r="I117" s="125"/>
      <c r="J117" s="125"/>
      <c r="K117" s="125"/>
      <c r="L117" s="125"/>
      <c r="M117" s="125"/>
      <c r="N117" s="133"/>
      <c r="O117" s="133"/>
      <c r="P117" s="133"/>
      <c r="Q117" s="116"/>
      <c r="R117" s="116"/>
    </row>
    <row r="118" spans="2:18" s="112" customFormat="1" ht="12" customHeight="1" x14ac:dyDescent="0.2">
      <c r="B118" s="133"/>
      <c r="C118" s="133"/>
      <c r="D118" s="133"/>
      <c r="E118" s="133"/>
      <c r="F118" s="125"/>
      <c r="G118" s="125"/>
      <c r="H118" s="125"/>
      <c r="I118" s="125"/>
      <c r="J118" s="125"/>
      <c r="K118" s="125"/>
      <c r="L118" s="125"/>
      <c r="M118" s="125"/>
      <c r="N118" s="133"/>
      <c r="O118" s="133"/>
      <c r="P118" s="133"/>
      <c r="Q118" s="116"/>
      <c r="R118" s="116"/>
    </row>
    <row r="119" spans="2:18" s="112" customFormat="1" ht="12" customHeight="1" x14ac:dyDescent="0.2">
      <c r="B119" s="133"/>
      <c r="C119" s="133"/>
      <c r="D119" s="133"/>
      <c r="E119" s="133"/>
      <c r="F119" s="125"/>
      <c r="G119" s="125"/>
      <c r="H119" s="125"/>
      <c r="I119" s="125"/>
      <c r="J119" s="125"/>
      <c r="K119" s="125"/>
      <c r="L119" s="125"/>
      <c r="M119" s="125"/>
      <c r="N119" s="133"/>
      <c r="O119" s="133"/>
      <c r="P119" s="133"/>
      <c r="Q119" s="116"/>
      <c r="R119" s="116"/>
    </row>
    <row r="120" spans="2:18" s="112" customFormat="1" ht="12" customHeight="1" x14ac:dyDescent="0.2">
      <c r="B120" s="133"/>
      <c r="C120" s="133"/>
      <c r="D120" s="133"/>
      <c r="E120" s="133"/>
      <c r="F120" s="125"/>
      <c r="G120" s="125"/>
      <c r="H120" s="125"/>
      <c r="I120" s="125"/>
      <c r="J120" s="125"/>
      <c r="K120" s="125"/>
      <c r="L120" s="125"/>
      <c r="M120" s="125"/>
      <c r="N120" s="133"/>
      <c r="O120" s="133"/>
      <c r="P120" s="133"/>
      <c r="Q120" s="116"/>
      <c r="R120" s="116"/>
    </row>
    <row r="121" spans="2:18" s="112" customFormat="1" ht="12" customHeight="1" x14ac:dyDescent="0.2">
      <c r="B121" s="133"/>
      <c r="C121" s="133"/>
      <c r="D121" s="133"/>
      <c r="E121" s="133"/>
      <c r="F121" s="125"/>
      <c r="G121" s="125"/>
      <c r="H121" s="125"/>
      <c r="I121" s="125"/>
      <c r="J121" s="125"/>
      <c r="K121" s="125"/>
      <c r="L121" s="125"/>
      <c r="M121" s="125"/>
      <c r="N121" s="133"/>
      <c r="O121" s="133"/>
      <c r="P121" s="133"/>
      <c r="Q121" s="116"/>
      <c r="R121" s="116"/>
    </row>
    <row r="122" spans="2:18" s="112" customFormat="1" ht="12" customHeight="1" x14ac:dyDescent="0.2">
      <c r="B122" s="133"/>
      <c r="C122" s="133"/>
      <c r="D122" s="133"/>
      <c r="E122" s="133"/>
      <c r="F122" s="125"/>
      <c r="G122" s="125"/>
      <c r="H122" s="125"/>
      <c r="I122" s="125"/>
      <c r="J122" s="125"/>
      <c r="K122" s="125"/>
      <c r="L122" s="125"/>
      <c r="M122" s="125"/>
      <c r="N122" s="133"/>
      <c r="O122" s="133"/>
      <c r="P122" s="133"/>
      <c r="Q122" s="116"/>
      <c r="R122" s="116"/>
    </row>
    <row r="123" spans="2:18" s="112" customFormat="1" ht="12" customHeight="1" x14ac:dyDescent="0.2">
      <c r="B123" s="133"/>
      <c r="C123" s="133"/>
      <c r="D123" s="133"/>
      <c r="E123" s="133"/>
      <c r="F123" s="125"/>
      <c r="G123" s="125"/>
      <c r="H123" s="125"/>
      <c r="I123" s="125"/>
      <c r="J123" s="125"/>
      <c r="K123" s="125"/>
      <c r="L123" s="125"/>
      <c r="M123" s="125"/>
      <c r="N123" s="133"/>
      <c r="O123" s="133"/>
      <c r="P123" s="133"/>
      <c r="Q123" s="116"/>
      <c r="R123" s="116"/>
    </row>
    <row r="124" spans="2:18" s="112" customFormat="1" ht="12" customHeight="1" x14ac:dyDescent="0.2">
      <c r="B124" s="133"/>
      <c r="C124" s="133"/>
      <c r="D124" s="133"/>
      <c r="E124" s="133"/>
      <c r="F124" s="125"/>
      <c r="G124" s="125"/>
      <c r="H124" s="125"/>
      <c r="I124" s="125"/>
      <c r="J124" s="125"/>
      <c r="K124" s="125"/>
      <c r="L124" s="125"/>
      <c r="M124" s="125"/>
      <c r="N124" s="133"/>
      <c r="O124" s="133"/>
      <c r="P124" s="133"/>
      <c r="Q124" s="116"/>
      <c r="R124" s="116"/>
    </row>
    <row r="125" spans="2:18" s="112" customFormat="1" ht="12" customHeight="1" x14ac:dyDescent="0.2">
      <c r="B125" s="133"/>
      <c r="C125" s="133"/>
      <c r="D125" s="133"/>
      <c r="E125" s="133"/>
      <c r="F125" s="125"/>
      <c r="G125" s="125"/>
      <c r="H125" s="125"/>
      <c r="I125" s="125"/>
      <c r="J125" s="125"/>
      <c r="K125" s="125"/>
      <c r="L125" s="125"/>
      <c r="M125" s="125"/>
      <c r="N125" s="133"/>
      <c r="O125" s="133"/>
      <c r="P125" s="133"/>
      <c r="Q125" s="116"/>
      <c r="R125" s="116"/>
    </row>
    <row r="126" spans="2:18" s="112" customFormat="1" ht="12" customHeight="1" x14ac:dyDescent="0.2">
      <c r="B126" s="133"/>
      <c r="C126" s="133"/>
      <c r="D126" s="133"/>
      <c r="E126" s="133"/>
      <c r="F126" s="125"/>
      <c r="G126" s="125"/>
      <c r="H126" s="125"/>
      <c r="I126" s="125"/>
      <c r="J126" s="125"/>
      <c r="K126" s="125"/>
      <c r="L126" s="125"/>
      <c r="M126" s="125"/>
      <c r="N126" s="133"/>
      <c r="O126" s="133"/>
      <c r="P126" s="133"/>
      <c r="Q126" s="116"/>
      <c r="R126" s="116"/>
    </row>
    <row r="127" spans="2:18" s="112" customFormat="1" ht="12" customHeight="1" x14ac:dyDescent="0.2">
      <c r="B127" s="133"/>
      <c r="C127" s="133"/>
      <c r="D127" s="133"/>
      <c r="E127" s="133"/>
      <c r="F127" s="125"/>
      <c r="G127" s="125"/>
      <c r="H127" s="125"/>
      <c r="I127" s="125"/>
      <c r="J127" s="125"/>
      <c r="K127" s="125"/>
      <c r="L127" s="125"/>
      <c r="M127" s="125"/>
      <c r="N127" s="133"/>
      <c r="O127" s="133"/>
      <c r="P127" s="133"/>
      <c r="Q127" s="116"/>
      <c r="R127" s="116"/>
    </row>
    <row r="128" spans="2:18" s="112" customFormat="1" ht="12" customHeight="1" x14ac:dyDescent="0.2">
      <c r="B128" s="133"/>
      <c r="C128" s="133"/>
      <c r="D128" s="133"/>
      <c r="E128" s="133"/>
      <c r="F128" s="125"/>
      <c r="G128" s="125"/>
      <c r="H128" s="125"/>
      <c r="I128" s="125"/>
      <c r="J128" s="125"/>
      <c r="K128" s="125"/>
      <c r="L128" s="125"/>
      <c r="M128" s="125"/>
      <c r="N128" s="133"/>
      <c r="O128" s="133"/>
      <c r="P128" s="133"/>
      <c r="Q128" s="116"/>
      <c r="R128" s="116"/>
    </row>
    <row r="129" spans="2:18" s="112" customFormat="1" ht="12" customHeight="1" x14ac:dyDescent="0.2">
      <c r="B129" s="133"/>
      <c r="C129" s="133"/>
      <c r="D129" s="133"/>
      <c r="E129" s="133"/>
      <c r="F129" s="125"/>
      <c r="G129" s="125"/>
      <c r="H129" s="125"/>
      <c r="I129" s="125"/>
      <c r="J129" s="125"/>
      <c r="K129" s="125"/>
      <c r="L129" s="125"/>
      <c r="M129" s="125"/>
      <c r="N129" s="133"/>
      <c r="O129" s="133"/>
      <c r="P129" s="133"/>
      <c r="Q129" s="116"/>
      <c r="R129" s="116"/>
    </row>
    <row r="130" spans="2:18" s="112" customFormat="1" ht="12" customHeight="1" x14ac:dyDescent="0.2">
      <c r="B130" s="133"/>
      <c r="C130" s="133"/>
      <c r="D130" s="133"/>
      <c r="E130" s="133"/>
      <c r="F130" s="125"/>
      <c r="G130" s="125"/>
      <c r="H130" s="125"/>
      <c r="I130" s="125"/>
      <c r="J130" s="125"/>
      <c r="K130" s="125"/>
      <c r="L130" s="125"/>
      <c r="M130" s="125"/>
      <c r="N130" s="133"/>
      <c r="O130" s="133"/>
      <c r="P130" s="133"/>
      <c r="Q130" s="116"/>
      <c r="R130" s="116"/>
    </row>
    <row r="131" spans="2:18" s="112" customFormat="1" ht="12" customHeight="1" x14ac:dyDescent="0.2">
      <c r="B131" s="133"/>
      <c r="C131" s="133"/>
      <c r="D131" s="133"/>
      <c r="E131" s="133"/>
      <c r="F131" s="125"/>
      <c r="G131" s="125"/>
      <c r="H131" s="125"/>
      <c r="I131" s="125"/>
      <c r="J131" s="125"/>
      <c r="K131" s="125"/>
      <c r="L131" s="125"/>
      <c r="M131" s="125"/>
      <c r="N131" s="133"/>
      <c r="O131" s="133"/>
      <c r="P131" s="133"/>
      <c r="Q131" s="116"/>
      <c r="R131" s="116"/>
    </row>
    <row r="132" spans="2:18" s="112" customFormat="1" ht="12" customHeight="1" x14ac:dyDescent="0.2">
      <c r="B132" s="133"/>
      <c r="C132" s="133"/>
      <c r="D132" s="133"/>
      <c r="E132" s="133"/>
      <c r="F132" s="125"/>
      <c r="G132" s="125"/>
      <c r="H132" s="125"/>
      <c r="I132" s="125"/>
      <c r="J132" s="125"/>
      <c r="K132" s="125"/>
      <c r="L132" s="125"/>
      <c r="M132" s="125"/>
      <c r="N132" s="133"/>
      <c r="O132" s="133"/>
      <c r="P132" s="133"/>
      <c r="Q132" s="116"/>
      <c r="R132" s="116"/>
    </row>
    <row r="133" spans="2:18" s="112" customFormat="1" ht="12" customHeight="1" x14ac:dyDescent="0.2">
      <c r="B133" s="133"/>
      <c r="C133" s="133"/>
      <c r="D133" s="133"/>
      <c r="E133" s="133"/>
      <c r="F133" s="125"/>
      <c r="G133" s="125"/>
      <c r="H133" s="125"/>
      <c r="I133" s="125"/>
      <c r="J133" s="125"/>
      <c r="K133" s="125"/>
      <c r="L133" s="125"/>
      <c r="M133" s="125"/>
      <c r="N133" s="133"/>
      <c r="O133" s="133"/>
      <c r="P133" s="133"/>
      <c r="Q133" s="116"/>
      <c r="R133" s="116"/>
    </row>
    <row r="134" spans="2:18" s="112" customFormat="1" ht="12" customHeight="1" x14ac:dyDescent="0.2">
      <c r="B134" s="133"/>
      <c r="C134" s="133"/>
      <c r="D134" s="133"/>
      <c r="E134" s="133"/>
      <c r="F134" s="125"/>
      <c r="G134" s="125"/>
      <c r="H134" s="125"/>
      <c r="I134" s="125"/>
      <c r="J134" s="125"/>
      <c r="K134" s="125"/>
      <c r="L134" s="125"/>
      <c r="M134" s="125"/>
      <c r="N134" s="133"/>
      <c r="O134" s="133"/>
      <c r="P134" s="133"/>
      <c r="Q134" s="116"/>
      <c r="R134" s="116"/>
    </row>
    <row r="135" spans="2:18" s="112" customFormat="1" ht="12" customHeight="1" x14ac:dyDescent="0.2">
      <c r="B135" s="133"/>
      <c r="C135" s="133"/>
      <c r="D135" s="133"/>
      <c r="E135" s="133"/>
      <c r="F135" s="125"/>
      <c r="G135" s="125"/>
      <c r="H135" s="125"/>
      <c r="I135" s="125"/>
      <c r="J135" s="125"/>
      <c r="K135" s="125"/>
      <c r="L135" s="125"/>
      <c r="M135" s="125"/>
      <c r="N135" s="133"/>
      <c r="O135" s="133"/>
      <c r="P135" s="133"/>
      <c r="Q135" s="116"/>
      <c r="R135" s="116"/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E03F-F7F1-4A0C-9ED8-627E74969DBB}">
  <sheetPr codeName="Sheet4">
    <pageSetUpPr fitToPage="1"/>
  </sheetPr>
  <dimension ref="A1:U332"/>
  <sheetViews>
    <sheetView topLeftCell="A6" zoomScale="85" zoomScaleNormal="25" zoomScaleSheetLayoutView="70" workbookViewId="0">
      <selection activeCell="C34" sqref="C34"/>
    </sheetView>
  </sheetViews>
  <sheetFormatPr defaultRowHeight="12.75" x14ac:dyDescent="0.2"/>
  <cols>
    <col min="1" max="1" width="11.5703125" style="112" bestFit="1" customWidth="1"/>
    <col min="2" max="2" width="58.5703125" style="133" bestFit="1" customWidth="1"/>
    <col min="3" max="3" width="35.140625" style="133" bestFit="1" customWidth="1"/>
    <col min="4" max="4" width="7.85546875" style="133" customWidth="1"/>
    <col min="5" max="5" width="18.42578125" style="133" bestFit="1" customWidth="1"/>
    <col min="6" max="6" width="8.42578125" style="125" bestFit="1" customWidth="1"/>
    <col min="7" max="7" width="8.7109375" style="125" bestFit="1" customWidth="1"/>
    <col min="8" max="9" width="10.42578125" style="125" customWidth="1"/>
    <col min="10" max="11" width="7.42578125" style="125" customWidth="1"/>
    <col min="12" max="12" width="11.85546875" style="125" customWidth="1"/>
    <col min="13" max="14" width="8.28515625" style="125" customWidth="1"/>
    <col min="15" max="15" width="9.42578125" style="133" customWidth="1"/>
    <col min="16" max="16" width="9.5703125" style="133" customWidth="1"/>
    <col min="17" max="17" width="9.5703125" style="133" bestFit="1" customWidth="1"/>
    <col min="18" max="19" width="7.5703125" style="116" bestFit="1" customWidth="1"/>
    <col min="20" max="16384" width="9.140625" style="133"/>
  </cols>
  <sheetData>
    <row r="1" spans="1:19" s="112" customFormat="1" x14ac:dyDescent="0.2">
      <c r="A1" s="112" t="s">
        <v>3</v>
      </c>
      <c r="B1" s="112" t="s">
        <v>4</v>
      </c>
      <c r="C1" s="133"/>
      <c r="E1" s="133"/>
      <c r="F1" s="125"/>
      <c r="G1" s="125"/>
      <c r="H1" s="125"/>
      <c r="I1" s="125"/>
      <c r="J1" s="125"/>
      <c r="K1" s="125"/>
      <c r="L1" s="125"/>
      <c r="M1" s="125"/>
      <c r="N1" s="125"/>
      <c r="O1" s="133"/>
      <c r="P1" s="133"/>
      <c r="Q1" s="133"/>
      <c r="R1" s="116"/>
      <c r="S1" s="116"/>
    </row>
    <row r="2" spans="1:19" x14ac:dyDescent="0.2">
      <c r="A2" s="112" t="s">
        <v>0</v>
      </c>
      <c r="B2" s="115" t="s">
        <v>1</v>
      </c>
      <c r="C2" s="115" t="s">
        <v>2</v>
      </c>
    </row>
    <row r="3" spans="1:19" x14ac:dyDescent="0.2">
      <c r="Q3" s="125"/>
      <c r="R3" s="125"/>
      <c r="S3" s="125"/>
    </row>
    <row r="4" spans="1:19" x14ac:dyDescent="0.2">
      <c r="A4" s="112" t="s">
        <v>5</v>
      </c>
      <c r="Q4" s="138"/>
      <c r="R4" s="176"/>
      <c r="S4" s="125"/>
    </row>
    <row r="5" spans="1:19" x14ac:dyDescent="0.2">
      <c r="B5" s="133" t="s">
        <v>8</v>
      </c>
      <c r="C5" s="133" t="s">
        <v>9</v>
      </c>
      <c r="Q5" s="138"/>
      <c r="R5" s="177"/>
      <c r="S5" s="125"/>
    </row>
    <row r="6" spans="1:19" x14ac:dyDescent="0.2">
      <c r="B6" s="133" t="s">
        <v>17</v>
      </c>
      <c r="C6" s="134">
        <v>2</v>
      </c>
      <c r="Q6" s="138"/>
      <c r="R6" s="176"/>
      <c r="S6" s="125"/>
    </row>
    <row r="7" spans="1:19" x14ac:dyDescent="0.2">
      <c r="B7" s="133" t="s">
        <v>166</v>
      </c>
      <c r="C7" s="134" t="s">
        <v>5</v>
      </c>
      <c r="Q7" s="178"/>
      <c r="R7" s="179"/>
      <c r="S7" s="125"/>
    </row>
    <row r="8" spans="1:19" x14ac:dyDescent="0.2">
      <c r="Q8" s="180"/>
      <c r="R8" s="181"/>
      <c r="S8" s="125"/>
    </row>
    <row r="9" spans="1:19" x14ac:dyDescent="0.2">
      <c r="B9" s="133" t="s">
        <v>135</v>
      </c>
      <c r="C9" s="134" t="s">
        <v>24</v>
      </c>
      <c r="Q9" s="182"/>
      <c r="R9" s="183"/>
      <c r="S9" s="125"/>
    </row>
    <row r="10" spans="1:19" x14ac:dyDescent="0.2">
      <c r="B10" s="133" t="s">
        <v>133</v>
      </c>
      <c r="C10" s="134" t="s">
        <v>90</v>
      </c>
      <c r="Q10" s="184"/>
      <c r="R10" s="185"/>
      <c r="S10" s="125"/>
    </row>
    <row r="11" spans="1:19" x14ac:dyDescent="0.2">
      <c r="B11" s="133" t="s">
        <v>136</v>
      </c>
      <c r="C11" s="135">
        <v>0.85</v>
      </c>
      <c r="Q11" s="184"/>
      <c r="R11" s="185"/>
      <c r="S11" s="125"/>
    </row>
    <row r="12" spans="1:19" x14ac:dyDescent="0.2">
      <c r="B12" s="133" t="s">
        <v>137</v>
      </c>
      <c r="C12" s="136">
        <v>0</v>
      </c>
      <c r="Q12" s="125"/>
      <c r="R12" s="125"/>
      <c r="S12" s="125"/>
    </row>
    <row r="13" spans="1:19" x14ac:dyDescent="0.2">
      <c r="C13" s="136"/>
      <c r="Q13" s="138"/>
      <c r="R13" s="186"/>
      <c r="S13" s="125"/>
    </row>
    <row r="14" spans="1:19" x14ac:dyDescent="0.2">
      <c r="B14" s="133" t="s">
        <v>151</v>
      </c>
      <c r="C14" s="134" t="s">
        <v>227</v>
      </c>
      <c r="D14" s="115" t="s">
        <v>220</v>
      </c>
      <c r="F14" s="133"/>
      <c r="G14" s="133"/>
      <c r="H14" s="133"/>
      <c r="I14" s="133"/>
      <c r="J14" s="133"/>
      <c r="K14" s="133"/>
      <c r="L14" s="133"/>
      <c r="M14" s="133"/>
      <c r="N14" s="133"/>
      <c r="Q14" s="134"/>
      <c r="R14" s="130"/>
      <c r="S14" s="125"/>
    </row>
    <row r="15" spans="1:19" x14ac:dyDescent="0.2">
      <c r="B15" s="133" t="s">
        <v>167</v>
      </c>
      <c r="C15" s="134">
        <v>100</v>
      </c>
      <c r="D15" s="115"/>
      <c r="F15" s="133"/>
      <c r="G15" s="133"/>
      <c r="H15" s="133"/>
      <c r="I15" s="133"/>
      <c r="J15" s="133"/>
      <c r="K15" s="133"/>
      <c r="L15" s="133"/>
      <c r="M15" s="133"/>
      <c r="N15" s="133"/>
    </row>
    <row r="16" spans="1:19" x14ac:dyDescent="0.2">
      <c r="B16" s="133" t="s">
        <v>139</v>
      </c>
      <c r="C16" s="134">
        <v>0</v>
      </c>
      <c r="D16" s="115"/>
      <c r="F16" s="133"/>
      <c r="G16" s="133"/>
      <c r="H16" s="133"/>
      <c r="I16" s="133"/>
      <c r="J16" s="133"/>
      <c r="K16" s="133"/>
      <c r="L16" s="133"/>
      <c r="M16" s="133"/>
      <c r="N16" s="133"/>
    </row>
    <row r="17" spans="1:19" x14ac:dyDescent="0.2">
      <c r="B17" s="125" t="s">
        <v>138</v>
      </c>
      <c r="C17" s="138">
        <v>0</v>
      </c>
      <c r="D17" s="115"/>
      <c r="F17" s="133"/>
      <c r="G17" s="133"/>
      <c r="H17" s="133"/>
      <c r="I17" s="133"/>
      <c r="J17" s="133"/>
      <c r="K17" s="133"/>
      <c r="L17" s="133"/>
      <c r="M17" s="133"/>
      <c r="N17" s="133"/>
    </row>
    <row r="18" spans="1:19" x14ac:dyDescent="0.2">
      <c r="B18" s="133" t="s">
        <v>140</v>
      </c>
      <c r="C18" s="199">
        <v>2</v>
      </c>
      <c r="D18" s="115"/>
      <c r="F18" s="133"/>
      <c r="G18" s="133"/>
      <c r="H18" s="133"/>
      <c r="I18" s="133"/>
      <c r="J18" s="133"/>
      <c r="K18" s="133"/>
      <c r="L18" s="133"/>
      <c r="M18" s="133"/>
      <c r="N18" s="133"/>
      <c r="Q18" s="134"/>
      <c r="R18" s="130"/>
      <c r="S18" s="125"/>
    </row>
    <row r="19" spans="1:19" s="125" customFormat="1" x14ac:dyDescent="0.2">
      <c r="A19" s="137"/>
      <c r="B19" s="125" t="s">
        <v>141</v>
      </c>
      <c r="C19" s="138">
        <v>2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</row>
    <row r="20" spans="1:19" s="125" customFormat="1" x14ac:dyDescent="0.2">
      <c r="A20" s="137"/>
      <c r="B20" s="125" t="s">
        <v>142</v>
      </c>
      <c r="C20" s="138">
        <v>1.2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</row>
    <row r="21" spans="1:19" x14ac:dyDescent="0.2">
      <c r="C21" s="134"/>
      <c r="D21" s="115"/>
      <c r="F21" s="133"/>
      <c r="G21" s="133"/>
      <c r="H21" s="133"/>
      <c r="I21" s="133"/>
      <c r="J21" s="133"/>
      <c r="K21" s="133"/>
      <c r="L21" s="133"/>
      <c r="M21" s="133"/>
      <c r="N21" s="133"/>
    </row>
    <row r="22" spans="1:19" x14ac:dyDescent="0.2">
      <c r="B22" s="139" t="s">
        <v>152</v>
      </c>
      <c r="C22" s="134" t="s">
        <v>48</v>
      </c>
      <c r="D22" s="115"/>
    </row>
    <row r="23" spans="1:19" x14ac:dyDescent="0.2">
      <c r="B23" s="139" t="s">
        <v>153</v>
      </c>
      <c r="C23" s="134" t="s">
        <v>92</v>
      </c>
      <c r="D23" s="161" t="s">
        <v>179</v>
      </c>
    </row>
    <row r="24" spans="1:19" s="154" customFormat="1" x14ac:dyDescent="0.2">
      <c r="A24" s="187"/>
      <c r="B24" s="160" t="s">
        <v>178</v>
      </c>
      <c r="C24" s="138" t="s">
        <v>92</v>
      </c>
      <c r="D24" s="161" t="s">
        <v>179</v>
      </c>
      <c r="P24" s="188"/>
      <c r="Q24" s="188"/>
      <c r="R24" s="188"/>
    </row>
    <row r="25" spans="1:19" x14ac:dyDescent="0.2">
      <c r="B25" s="133" t="s">
        <v>154</v>
      </c>
      <c r="C25" s="134" t="s">
        <v>14</v>
      </c>
      <c r="D25" s="115"/>
    </row>
    <row r="26" spans="1:19" x14ac:dyDescent="0.2">
      <c r="B26" s="133" t="s">
        <v>155</v>
      </c>
      <c r="C26" s="134" t="s">
        <v>14</v>
      </c>
      <c r="D26" s="115"/>
    </row>
    <row r="27" spans="1:19" x14ac:dyDescent="0.2">
      <c r="C27" s="134"/>
      <c r="D27" s="115"/>
    </row>
    <row r="28" spans="1:19" x14ac:dyDescent="0.2">
      <c r="B28" s="133" t="s">
        <v>16</v>
      </c>
      <c r="C28" s="134" t="s">
        <v>24</v>
      </c>
      <c r="D28" s="115"/>
      <c r="E28" s="115"/>
    </row>
    <row r="29" spans="1:19" x14ac:dyDescent="0.2">
      <c r="B29" s="133" t="s">
        <v>25</v>
      </c>
      <c r="C29" s="134">
        <v>30</v>
      </c>
      <c r="D29" s="115"/>
    </row>
    <row r="30" spans="1:19" x14ac:dyDescent="0.2">
      <c r="A30" s="133"/>
      <c r="B30" s="133" t="s">
        <v>195</v>
      </c>
      <c r="C30" s="134">
        <v>30</v>
      </c>
      <c r="D30" s="115"/>
      <c r="N30" s="133"/>
      <c r="R30" s="133"/>
      <c r="S30" s="133"/>
    </row>
    <row r="31" spans="1:19" x14ac:dyDescent="0.2">
      <c r="A31" s="133"/>
      <c r="B31" s="133" t="s">
        <v>190</v>
      </c>
      <c r="C31" s="134">
        <v>1</v>
      </c>
      <c r="D31" s="115"/>
      <c r="N31" s="133"/>
      <c r="R31" s="133"/>
      <c r="S31" s="133"/>
    </row>
    <row r="32" spans="1:19" x14ac:dyDescent="0.2">
      <c r="C32" s="134"/>
    </row>
    <row r="33" spans="1:21" x14ac:dyDescent="0.2">
      <c r="B33" s="133" t="s">
        <v>157</v>
      </c>
      <c r="C33" s="135">
        <v>-0.1</v>
      </c>
      <c r="F33" s="133"/>
      <c r="G33" s="133"/>
      <c r="H33" s="133"/>
      <c r="I33" s="133"/>
      <c r="J33" s="133"/>
      <c r="K33" s="133"/>
      <c r="L33" s="133"/>
      <c r="M33" s="133"/>
      <c r="N33" s="133"/>
    </row>
    <row r="34" spans="1:21" x14ac:dyDescent="0.2">
      <c r="B34" s="133" t="s">
        <v>221</v>
      </c>
      <c r="C34" s="135">
        <v>1.2</v>
      </c>
      <c r="F34" s="133"/>
      <c r="G34" s="133"/>
      <c r="H34" s="133"/>
      <c r="I34" s="133"/>
      <c r="J34" s="133"/>
      <c r="K34" s="133"/>
      <c r="L34" s="133"/>
      <c r="M34" s="133"/>
      <c r="N34" s="133"/>
    </row>
    <row r="35" spans="1:21" x14ac:dyDescent="0.2">
      <c r="B35" s="133" t="s">
        <v>156</v>
      </c>
      <c r="C35" s="135" t="s">
        <v>24</v>
      </c>
      <c r="F35" s="133"/>
      <c r="G35" s="133"/>
      <c r="H35" s="133"/>
      <c r="I35" s="133"/>
      <c r="J35" s="133"/>
      <c r="K35" s="133"/>
      <c r="L35" s="133"/>
      <c r="M35" s="133"/>
      <c r="N35" s="133"/>
    </row>
    <row r="36" spans="1:21" x14ac:dyDescent="0.2">
      <c r="B36" s="133" t="s">
        <v>158</v>
      </c>
      <c r="C36" s="134" t="s">
        <v>24</v>
      </c>
    </row>
    <row r="37" spans="1:21" x14ac:dyDescent="0.2">
      <c r="B37" s="139"/>
    </row>
    <row r="38" spans="1:21" s="119" customFormat="1" ht="56.25" customHeight="1" x14ac:dyDescent="0.2">
      <c r="A38" s="119" t="s">
        <v>15</v>
      </c>
      <c r="B38" s="119" t="s">
        <v>10</v>
      </c>
      <c r="C38" s="141" t="s">
        <v>11</v>
      </c>
      <c r="D38" s="118" t="s">
        <v>12</v>
      </c>
      <c r="E38" s="116" t="s">
        <v>27</v>
      </c>
      <c r="F38" s="142" t="s">
        <v>133</v>
      </c>
      <c r="G38" s="117" t="s">
        <v>135</v>
      </c>
      <c r="H38" s="142" t="s">
        <v>137</v>
      </c>
      <c r="I38" s="142" t="s">
        <v>136</v>
      </c>
      <c r="J38" s="142" t="s">
        <v>167</v>
      </c>
      <c r="K38" s="142" t="s">
        <v>138</v>
      </c>
      <c r="L38" s="142" t="s">
        <v>140</v>
      </c>
      <c r="M38" s="142" t="s">
        <v>141</v>
      </c>
      <c r="N38" s="142" t="s">
        <v>142</v>
      </c>
      <c r="O38" s="141" t="s">
        <v>143</v>
      </c>
      <c r="P38" s="141" t="s">
        <v>145</v>
      </c>
      <c r="Q38" s="141" t="s">
        <v>146</v>
      </c>
      <c r="R38" s="141" t="s">
        <v>147</v>
      </c>
      <c r="S38" s="141" t="s">
        <v>148</v>
      </c>
      <c r="T38" s="141" t="s">
        <v>25</v>
      </c>
      <c r="U38" s="141" t="s">
        <v>195</v>
      </c>
    </row>
    <row r="39" spans="1:21" ht="13.5" x14ac:dyDescent="0.25">
      <c r="A39" s="144" t="s">
        <v>21</v>
      </c>
      <c r="B39" s="189" t="s">
        <v>228</v>
      </c>
      <c r="C39" s="116"/>
      <c r="D39" s="116"/>
      <c r="E39" s="116"/>
      <c r="F39" s="186"/>
      <c r="G39" s="186"/>
      <c r="H39" s="190"/>
      <c r="I39" s="190"/>
      <c r="J39" s="190"/>
      <c r="K39" s="190"/>
      <c r="L39" s="190"/>
      <c r="M39" s="190"/>
      <c r="N39" s="190"/>
      <c r="O39" s="116"/>
      <c r="P39" s="116"/>
      <c r="Q39" s="116"/>
    </row>
    <row r="40" spans="1:21" ht="13.5" x14ac:dyDescent="0.25">
      <c r="A40" s="144"/>
      <c r="B40" s="133" t="s">
        <v>229</v>
      </c>
      <c r="C40" s="116">
        <v>10</v>
      </c>
      <c r="D40" s="116">
        <f>IF(A40="//","0",0)</f>
        <v>0</v>
      </c>
      <c r="E40" s="159"/>
      <c r="F40" s="117" t="s">
        <v>90</v>
      </c>
      <c r="G40" s="186" t="s">
        <v>24</v>
      </c>
      <c r="H40" s="190">
        <v>0</v>
      </c>
      <c r="I40" s="190">
        <v>0.85</v>
      </c>
      <c r="J40" s="186">
        <v>100</v>
      </c>
      <c r="K40" s="186">
        <v>0</v>
      </c>
      <c r="L40" s="190">
        <v>2</v>
      </c>
      <c r="M40" s="190">
        <v>2</v>
      </c>
      <c r="N40" s="190">
        <v>1.2</v>
      </c>
      <c r="O40" s="116">
        <v>40</v>
      </c>
      <c r="P40" s="116">
        <v>100</v>
      </c>
      <c r="Q40" s="116">
        <v>100</v>
      </c>
      <c r="R40" s="116">
        <v>110</v>
      </c>
      <c r="S40" s="116">
        <v>110</v>
      </c>
      <c r="T40" s="116">
        <v>1</v>
      </c>
      <c r="U40" s="116">
        <v>1</v>
      </c>
    </row>
    <row r="41" spans="1:21" ht="12.75" customHeight="1" x14ac:dyDescent="0.25">
      <c r="A41" s="144"/>
      <c r="B41" s="133" t="s">
        <v>230</v>
      </c>
      <c r="C41" s="116">
        <v>5</v>
      </c>
      <c r="D41" s="116">
        <f>IF(A41="//","0",0)</f>
        <v>0</v>
      </c>
      <c r="E41" s="200" t="s">
        <v>231</v>
      </c>
      <c r="F41" s="117"/>
      <c r="G41" s="186"/>
      <c r="H41" s="190"/>
      <c r="I41" s="190">
        <v>0.8</v>
      </c>
      <c r="J41" s="186"/>
      <c r="K41" s="186"/>
      <c r="L41" s="190"/>
      <c r="M41" s="186"/>
      <c r="N41" s="186"/>
      <c r="O41" s="116"/>
      <c r="P41" s="116">
        <v>120</v>
      </c>
      <c r="Q41" s="116">
        <v>120</v>
      </c>
      <c r="T41" s="116"/>
      <c r="U41" s="116"/>
    </row>
    <row r="42" spans="1:21" ht="12.75" customHeight="1" x14ac:dyDescent="0.25">
      <c r="A42" s="144"/>
      <c r="B42" s="133" t="s">
        <v>232</v>
      </c>
      <c r="C42" s="116">
        <v>5</v>
      </c>
      <c r="D42" s="116">
        <v>0</v>
      </c>
      <c r="E42" s="201" t="s">
        <v>233</v>
      </c>
      <c r="F42" s="117"/>
      <c r="G42" s="186"/>
      <c r="H42" s="190"/>
      <c r="I42" s="190">
        <v>0.65</v>
      </c>
      <c r="J42" s="186"/>
      <c r="K42" s="186"/>
      <c r="L42" s="186"/>
      <c r="M42" s="186"/>
      <c r="N42" s="186"/>
      <c r="O42" s="116">
        <v>70</v>
      </c>
      <c r="P42" s="116"/>
      <c r="Q42" s="116"/>
    </row>
    <row r="43" spans="1:21" ht="12.75" customHeight="1" x14ac:dyDescent="0.25">
      <c r="A43" s="144"/>
      <c r="B43" s="133" t="s">
        <v>234</v>
      </c>
      <c r="C43" s="116">
        <v>5</v>
      </c>
      <c r="D43" s="116">
        <v>0</v>
      </c>
      <c r="E43" s="202" t="s">
        <v>235</v>
      </c>
      <c r="F43" s="117"/>
      <c r="G43" s="186"/>
      <c r="H43" s="190"/>
      <c r="I43" s="190"/>
      <c r="J43" s="186"/>
      <c r="K43" s="186"/>
      <c r="L43" s="186"/>
      <c r="M43" s="186"/>
      <c r="N43" s="186"/>
      <c r="O43" s="116"/>
      <c r="P43" s="116"/>
      <c r="Q43" s="116"/>
      <c r="R43" s="116">
        <v>200</v>
      </c>
      <c r="S43" s="116">
        <v>200</v>
      </c>
    </row>
    <row r="44" spans="1:21" ht="12.75" customHeight="1" x14ac:dyDescent="0.25">
      <c r="A44" s="144"/>
      <c r="B44" s="133" t="s">
        <v>236</v>
      </c>
      <c r="C44" s="116">
        <v>5</v>
      </c>
      <c r="D44" s="116">
        <v>0</v>
      </c>
      <c r="E44" s="203" t="s">
        <v>237</v>
      </c>
      <c r="F44" s="117" t="s">
        <v>121</v>
      </c>
      <c r="G44" s="186"/>
      <c r="H44" s="190">
        <v>1</v>
      </c>
      <c r="I44" s="190">
        <v>0.75</v>
      </c>
      <c r="J44" s="186"/>
      <c r="K44" s="186"/>
      <c r="L44" s="186"/>
      <c r="M44" s="186"/>
      <c r="N44" s="186"/>
      <c r="O44" s="116"/>
      <c r="P44" s="116"/>
      <c r="Q44" s="116"/>
    </row>
    <row r="45" spans="1:21" ht="13.5" x14ac:dyDescent="0.25">
      <c r="A45" s="144"/>
      <c r="B45" s="133" t="s">
        <v>238</v>
      </c>
      <c r="C45" s="116">
        <v>300</v>
      </c>
      <c r="D45" s="116">
        <v>0</v>
      </c>
      <c r="E45" s="159"/>
      <c r="F45" s="117" t="s">
        <v>90</v>
      </c>
      <c r="G45" s="186" t="s">
        <v>24</v>
      </c>
      <c r="H45" s="190">
        <v>0</v>
      </c>
      <c r="I45" s="190">
        <v>0.85</v>
      </c>
      <c r="J45" s="186">
        <v>100</v>
      </c>
      <c r="K45" s="186">
        <v>0</v>
      </c>
      <c r="L45" s="190">
        <v>2</v>
      </c>
      <c r="M45" s="204">
        <v>2</v>
      </c>
      <c r="N45" s="190">
        <v>1.2</v>
      </c>
      <c r="O45" s="116">
        <v>70</v>
      </c>
      <c r="P45" s="116">
        <v>65</v>
      </c>
      <c r="Q45" s="116">
        <v>65</v>
      </c>
      <c r="R45" s="116">
        <v>150</v>
      </c>
      <c r="S45" s="116">
        <v>150</v>
      </c>
      <c r="T45" s="116">
        <v>10</v>
      </c>
      <c r="U45" s="116">
        <v>10</v>
      </c>
    </row>
    <row r="46" spans="1:21" s="125" customFormat="1" x14ac:dyDescent="0.2">
      <c r="C46" s="138"/>
      <c r="Q46" s="117"/>
      <c r="R46" s="117"/>
    </row>
    <row r="47" spans="1:21" x14ac:dyDescent="0.2">
      <c r="A47" s="112" t="s">
        <v>30</v>
      </c>
      <c r="B47" s="148" t="s">
        <v>31</v>
      </c>
      <c r="C47" s="200" t="s">
        <v>231</v>
      </c>
      <c r="O47" s="125"/>
      <c r="R47" s="133"/>
    </row>
    <row r="48" spans="1:21" x14ac:dyDescent="0.2">
      <c r="A48" s="133"/>
      <c r="B48" s="150" t="s">
        <v>8</v>
      </c>
      <c r="C48" s="205" t="s">
        <v>126</v>
      </c>
      <c r="O48" s="125"/>
      <c r="R48" s="133"/>
    </row>
    <row r="49" spans="1:19" x14ac:dyDescent="0.2">
      <c r="A49" s="133"/>
      <c r="B49" s="150" t="s">
        <v>126</v>
      </c>
      <c r="C49" s="205" t="s">
        <v>143</v>
      </c>
      <c r="O49" s="125"/>
      <c r="R49" s="133"/>
    </row>
    <row r="50" spans="1:19" x14ac:dyDescent="0.2">
      <c r="A50" s="133"/>
      <c r="B50" s="150" t="s">
        <v>128</v>
      </c>
      <c r="C50" s="151">
        <v>50</v>
      </c>
      <c r="O50" s="125"/>
      <c r="R50" s="133"/>
    </row>
    <row r="51" spans="1:19" x14ac:dyDescent="0.2">
      <c r="A51" s="133"/>
      <c r="B51" s="150" t="s">
        <v>129</v>
      </c>
      <c r="C51" s="151">
        <v>70</v>
      </c>
      <c r="O51" s="125"/>
      <c r="R51" s="133"/>
    </row>
    <row r="52" spans="1:19" x14ac:dyDescent="0.2">
      <c r="A52" s="133"/>
      <c r="B52" s="150" t="s">
        <v>130</v>
      </c>
      <c r="C52" s="151">
        <v>10</v>
      </c>
      <c r="G52" s="133"/>
      <c r="O52" s="125"/>
      <c r="R52" s="133"/>
    </row>
    <row r="53" spans="1:19" x14ac:dyDescent="0.2">
      <c r="A53" s="133"/>
      <c r="B53" s="150"/>
      <c r="C53" s="147"/>
      <c r="G53" s="133"/>
      <c r="O53" s="125"/>
      <c r="R53" s="133"/>
    </row>
    <row r="54" spans="1:19" x14ac:dyDescent="0.2">
      <c r="A54" s="133"/>
      <c r="B54" s="150" t="s">
        <v>8</v>
      </c>
      <c r="C54" s="205" t="s">
        <v>9</v>
      </c>
      <c r="G54" s="133"/>
      <c r="O54" s="125"/>
      <c r="R54" s="133"/>
    </row>
    <row r="55" spans="1:19" x14ac:dyDescent="0.2">
      <c r="A55" s="133"/>
      <c r="B55" s="150" t="s">
        <v>17</v>
      </c>
      <c r="C55" s="151">
        <v>1</v>
      </c>
      <c r="O55" s="125"/>
      <c r="R55" s="133"/>
    </row>
    <row r="56" spans="1:19" x14ac:dyDescent="0.2">
      <c r="A56" s="113"/>
      <c r="B56" s="150" t="s">
        <v>174</v>
      </c>
      <c r="C56" s="151" t="s">
        <v>239</v>
      </c>
      <c r="O56" s="125"/>
      <c r="R56" s="133"/>
    </row>
    <row r="57" spans="1:19" x14ac:dyDescent="0.2">
      <c r="A57" s="133"/>
      <c r="B57" s="150"/>
      <c r="C57" s="147"/>
      <c r="G57" s="133"/>
      <c r="O57" s="125"/>
      <c r="R57" s="133"/>
    </row>
    <row r="58" spans="1:19" x14ac:dyDescent="0.2">
      <c r="A58" s="133"/>
      <c r="B58" s="150" t="s">
        <v>8</v>
      </c>
      <c r="C58" s="205" t="s">
        <v>226</v>
      </c>
      <c r="G58" s="133"/>
      <c r="O58" s="125"/>
      <c r="R58" s="133"/>
    </row>
    <row r="59" spans="1:19" x14ac:dyDescent="0.2">
      <c r="A59" s="133"/>
      <c r="B59" s="150" t="s">
        <v>17</v>
      </c>
      <c r="C59" s="151">
        <v>120</v>
      </c>
      <c r="O59" s="125"/>
      <c r="R59" s="133"/>
    </row>
    <row r="60" spans="1:19" x14ac:dyDescent="0.2">
      <c r="A60" s="113"/>
      <c r="B60" s="150" t="s">
        <v>136</v>
      </c>
      <c r="C60" s="151" t="s">
        <v>175</v>
      </c>
      <c r="O60" s="125"/>
      <c r="R60" s="133"/>
    </row>
    <row r="61" spans="1:19" x14ac:dyDescent="0.2">
      <c r="A61" s="133"/>
      <c r="B61" s="150"/>
      <c r="C61" s="147"/>
      <c r="O61" s="125"/>
      <c r="R61" s="133"/>
    </row>
    <row r="62" spans="1:19" x14ac:dyDescent="0.2">
      <c r="A62" s="133"/>
      <c r="B62" s="150" t="s">
        <v>8</v>
      </c>
      <c r="C62" s="150" t="s">
        <v>132</v>
      </c>
      <c r="F62" s="133"/>
      <c r="G62" s="133"/>
      <c r="H62" s="133"/>
      <c r="I62" s="133"/>
      <c r="J62" s="133"/>
      <c r="K62" s="133"/>
      <c r="L62" s="133"/>
      <c r="M62" s="133"/>
      <c r="N62" s="133"/>
      <c r="R62" s="133"/>
      <c r="S62" s="133"/>
    </row>
    <row r="63" spans="1:19" x14ac:dyDescent="0.2">
      <c r="A63" s="133"/>
      <c r="B63" s="150" t="s">
        <v>132</v>
      </c>
      <c r="C63" s="205" t="s">
        <v>143</v>
      </c>
      <c r="F63" s="133"/>
      <c r="G63" s="133"/>
      <c r="H63" s="133"/>
      <c r="I63" s="133"/>
      <c r="J63" s="133"/>
      <c r="K63" s="133"/>
      <c r="L63" s="133"/>
      <c r="M63" s="133"/>
      <c r="N63" s="133"/>
      <c r="R63" s="133"/>
      <c r="S63" s="133"/>
    </row>
    <row r="64" spans="1:19" x14ac:dyDescent="0.2">
      <c r="A64" s="133"/>
      <c r="B64" s="150"/>
      <c r="C64" s="150"/>
      <c r="F64" s="133"/>
      <c r="G64" s="133"/>
      <c r="H64" s="133"/>
      <c r="I64" s="133"/>
      <c r="J64" s="133"/>
      <c r="K64" s="133"/>
      <c r="L64" s="133"/>
      <c r="M64" s="133"/>
      <c r="N64" s="133"/>
      <c r="R64" s="133"/>
      <c r="S64" s="133"/>
    </row>
    <row r="65" spans="1:19" x14ac:dyDescent="0.2">
      <c r="B65" s="150" t="s">
        <v>8</v>
      </c>
      <c r="C65" s="150" t="s">
        <v>32</v>
      </c>
      <c r="O65" s="125"/>
      <c r="R65" s="133"/>
    </row>
    <row r="66" spans="1:19" x14ac:dyDescent="0.2">
      <c r="B66" s="150" t="s">
        <v>45</v>
      </c>
      <c r="C66" s="150" t="s">
        <v>33</v>
      </c>
      <c r="O66" s="125"/>
      <c r="R66" s="133"/>
    </row>
    <row r="67" spans="1:19" x14ac:dyDescent="0.2">
      <c r="A67" s="133"/>
      <c r="B67" s="150" t="s">
        <v>17</v>
      </c>
      <c r="C67" s="150">
        <v>300</v>
      </c>
      <c r="F67" s="133"/>
      <c r="G67" s="133"/>
      <c r="H67" s="133"/>
      <c r="I67" s="133"/>
      <c r="J67" s="133"/>
      <c r="K67" s="133"/>
      <c r="L67" s="133"/>
      <c r="M67" s="133"/>
      <c r="N67" s="133"/>
      <c r="R67" s="133"/>
      <c r="S67" s="133"/>
    </row>
    <row r="68" spans="1:19" x14ac:dyDescent="0.2">
      <c r="A68" s="133"/>
      <c r="B68" s="150" t="s">
        <v>34</v>
      </c>
      <c r="C68" s="150" t="s">
        <v>35</v>
      </c>
      <c r="F68" s="133"/>
      <c r="G68" s="133"/>
      <c r="H68" s="133"/>
      <c r="I68" s="133"/>
      <c r="J68" s="133"/>
      <c r="K68" s="133"/>
      <c r="L68" s="133"/>
      <c r="M68" s="133"/>
      <c r="N68" s="133"/>
      <c r="R68" s="133"/>
      <c r="S68" s="133"/>
    </row>
    <row r="69" spans="1:19" x14ac:dyDescent="0.2">
      <c r="A69" s="133"/>
      <c r="B69" s="150" t="s">
        <v>161</v>
      </c>
      <c r="C69" s="151">
        <v>67</v>
      </c>
      <c r="F69" s="133"/>
      <c r="G69" s="133"/>
      <c r="H69" s="133"/>
      <c r="I69" s="133"/>
      <c r="J69" s="133"/>
      <c r="K69" s="133"/>
      <c r="L69" s="133"/>
      <c r="M69" s="133"/>
      <c r="N69" s="133"/>
      <c r="Q69" s="116"/>
      <c r="S69" s="133"/>
    </row>
    <row r="70" spans="1:19" s="125" customFormat="1" x14ac:dyDescent="0.2">
      <c r="C70" s="138"/>
      <c r="Q70" s="117"/>
      <c r="R70" s="117"/>
    </row>
    <row r="71" spans="1:19" x14ac:dyDescent="0.2">
      <c r="A71" s="112" t="s">
        <v>30</v>
      </c>
      <c r="B71" s="206" t="s">
        <v>31</v>
      </c>
      <c r="C71" s="201" t="s">
        <v>233</v>
      </c>
      <c r="O71" s="125"/>
      <c r="R71" s="133"/>
    </row>
    <row r="72" spans="1:19" x14ac:dyDescent="0.2">
      <c r="A72" s="133"/>
      <c r="B72" s="207" t="s">
        <v>8</v>
      </c>
      <c r="C72" s="208" t="s">
        <v>226</v>
      </c>
      <c r="O72" s="125"/>
      <c r="R72" s="133"/>
    </row>
    <row r="73" spans="1:19" x14ac:dyDescent="0.2">
      <c r="A73" s="133"/>
      <c r="B73" s="207" t="s">
        <v>17</v>
      </c>
      <c r="C73" s="209">
        <v>60</v>
      </c>
      <c r="O73" s="125"/>
      <c r="R73" s="133"/>
    </row>
    <row r="74" spans="1:19" x14ac:dyDescent="0.2">
      <c r="A74" s="133"/>
      <c r="B74" s="207" t="s">
        <v>148</v>
      </c>
      <c r="C74" s="209">
        <v>200</v>
      </c>
      <c r="O74" s="125"/>
      <c r="R74" s="133"/>
    </row>
    <row r="75" spans="1:19" x14ac:dyDescent="0.2">
      <c r="A75" s="133"/>
      <c r="B75" s="208" t="s">
        <v>147</v>
      </c>
      <c r="C75" s="209">
        <v>200</v>
      </c>
      <c r="O75" s="125"/>
      <c r="R75" s="133"/>
    </row>
    <row r="76" spans="1:19" s="125" customFormat="1" x14ac:dyDescent="0.2"/>
    <row r="77" spans="1:19" x14ac:dyDescent="0.2">
      <c r="A77" s="112" t="s">
        <v>30</v>
      </c>
      <c r="B77" s="210" t="s">
        <v>31</v>
      </c>
      <c r="C77" s="202" t="s">
        <v>235</v>
      </c>
      <c r="O77" s="125"/>
      <c r="R77" s="133"/>
    </row>
    <row r="78" spans="1:19" x14ac:dyDescent="0.2">
      <c r="A78" s="133"/>
      <c r="B78" s="211" t="s">
        <v>8</v>
      </c>
      <c r="C78" s="212" t="s">
        <v>9</v>
      </c>
      <c r="O78" s="125"/>
      <c r="R78" s="133"/>
    </row>
    <row r="79" spans="1:19" x14ac:dyDescent="0.2">
      <c r="A79" s="133"/>
      <c r="B79" s="211" t="s">
        <v>17</v>
      </c>
      <c r="C79" s="213">
        <v>10</v>
      </c>
      <c r="O79" s="125"/>
      <c r="R79" s="133"/>
    </row>
    <row r="80" spans="1:19" x14ac:dyDescent="0.2">
      <c r="A80" s="113"/>
      <c r="B80" s="212" t="s">
        <v>240</v>
      </c>
      <c r="C80" s="214">
        <v>0</v>
      </c>
      <c r="O80" s="125"/>
      <c r="R80" s="133"/>
    </row>
    <row r="81" spans="1:19" x14ac:dyDescent="0.2">
      <c r="A81" s="133"/>
      <c r="B81" s="212" t="s">
        <v>241</v>
      </c>
      <c r="C81" s="214">
        <v>-0.2</v>
      </c>
      <c r="O81" s="125"/>
      <c r="R81" s="133"/>
    </row>
    <row r="82" spans="1:19" x14ac:dyDescent="0.2">
      <c r="A82" s="133"/>
      <c r="B82" s="212" t="s">
        <v>157</v>
      </c>
      <c r="C82" s="214">
        <v>-0.2</v>
      </c>
      <c r="O82" s="125"/>
      <c r="R82" s="133"/>
    </row>
    <row r="83" spans="1:19" x14ac:dyDescent="0.2">
      <c r="A83" s="133"/>
      <c r="B83" s="211"/>
      <c r="C83" s="215"/>
      <c r="O83" s="125"/>
      <c r="R83" s="133"/>
    </row>
    <row r="84" spans="1:19" x14ac:dyDescent="0.2">
      <c r="A84" s="133"/>
      <c r="B84" s="211" t="s">
        <v>8</v>
      </c>
      <c r="C84" s="212" t="s">
        <v>9</v>
      </c>
      <c r="O84" s="125"/>
      <c r="R84" s="133"/>
    </row>
    <row r="85" spans="1:19" x14ac:dyDescent="0.2">
      <c r="A85" s="133"/>
      <c r="B85" s="211" t="s">
        <v>17</v>
      </c>
      <c r="C85" s="213">
        <v>1</v>
      </c>
      <c r="O85" s="125"/>
      <c r="R85" s="133"/>
    </row>
    <row r="86" spans="1:19" x14ac:dyDescent="0.2">
      <c r="B86" s="211" t="s">
        <v>166</v>
      </c>
      <c r="C86" s="213" t="s">
        <v>242</v>
      </c>
      <c r="Q86" s="178"/>
      <c r="R86" s="179"/>
      <c r="S86" s="125"/>
    </row>
    <row r="87" spans="1:19" x14ac:dyDescent="0.2">
      <c r="B87" s="211"/>
      <c r="C87" s="213"/>
      <c r="Q87" s="178"/>
      <c r="R87" s="179"/>
      <c r="S87" s="125"/>
    </row>
    <row r="88" spans="1:19" x14ac:dyDescent="0.2">
      <c r="B88" s="211" t="s">
        <v>8</v>
      </c>
      <c r="C88" s="216" t="s">
        <v>126</v>
      </c>
      <c r="Q88" s="178"/>
      <c r="R88" s="179"/>
      <c r="S88" s="125"/>
    </row>
    <row r="89" spans="1:19" x14ac:dyDescent="0.2">
      <c r="B89" s="211" t="s">
        <v>126</v>
      </c>
      <c r="C89" s="214" t="s">
        <v>127</v>
      </c>
      <c r="Q89" s="178"/>
      <c r="R89" s="179"/>
      <c r="S89" s="125"/>
    </row>
    <row r="90" spans="1:19" x14ac:dyDescent="0.2">
      <c r="B90" s="211" t="s">
        <v>128</v>
      </c>
      <c r="C90" s="214">
        <v>1</v>
      </c>
      <c r="Q90" s="178"/>
      <c r="R90" s="179"/>
      <c r="S90" s="125"/>
    </row>
    <row r="91" spans="1:19" x14ac:dyDescent="0.2">
      <c r="B91" s="211" t="s">
        <v>129</v>
      </c>
      <c r="C91" s="214">
        <v>18</v>
      </c>
      <c r="Q91" s="178"/>
      <c r="R91" s="179"/>
      <c r="S91" s="125"/>
    </row>
    <row r="92" spans="1:19" x14ac:dyDescent="0.2">
      <c r="B92" s="211" t="s">
        <v>130</v>
      </c>
      <c r="C92" s="214">
        <v>1</v>
      </c>
      <c r="Q92" s="178"/>
      <c r="R92" s="179"/>
      <c r="S92" s="125"/>
    </row>
    <row r="93" spans="1:19" x14ac:dyDescent="0.2">
      <c r="B93" s="211"/>
      <c r="C93" s="213"/>
      <c r="Q93" s="178"/>
      <c r="R93" s="179"/>
      <c r="S93" s="125"/>
    </row>
    <row r="94" spans="1:19" x14ac:dyDescent="0.2">
      <c r="A94" s="133"/>
      <c r="B94" s="211" t="s">
        <v>8</v>
      </c>
      <c r="C94" s="212" t="s">
        <v>9</v>
      </c>
      <c r="O94" s="125"/>
      <c r="R94" s="133"/>
    </row>
    <row r="95" spans="1:19" x14ac:dyDescent="0.2">
      <c r="A95" s="133"/>
      <c r="B95" s="211" t="s">
        <v>17</v>
      </c>
      <c r="C95" s="213">
        <v>1</v>
      </c>
      <c r="O95" s="125"/>
      <c r="R95" s="133"/>
    </row>
    <row r="96" spans="1:19" x14ac:dyDescent="0.2">
      <c r="A96" s="113"/>
      <c r="B96" s="211" t="s">
        <v>243</v>
      </c>
      <c r="C96" s="213" t="s">
        <v>244</v>
      </c>
      <c r="O96" s="125"/>
      <c r="R96" s="133"/>
    </row>
    <row r="97" spans="1:19" x14ac:dyDescent="0.2">
      <c r="B97" s="211"/>
      <c r="C97" s="213"/>
      <c r="Q97" s="178"/>
      <c r="R97" s="179"/>
      <c r="S97" s="125"/>
    </row>
    <row r="98" spans="1:19" x14ac:dyDescent="0.2">
      <c r="A98" s="133"/>
      <c r="B98" s="211" t="s">
        <v>8</v>
      </c>
      <c r="C98" s="212" t="s">
        <v>9</v>
      </c>
      <c r="O98" s="125"/>
      <c r="R98" s="133"/>
    </row>
    <row r="99" spans="1:19" x14ac:dyDescent="0.2">
      <c r="A99" s="133"/>
      <c r="B99" s="211" t="s">
        <v>17</v>
      </c>
      <c r="C99" s="213">
        <v>1</v>
      </c>
      <c r="O99" s="125"/>
      <c r="R99" s="133"/>
    </row>
    <row r="100" spans="1:19" x14ac:dyDescent="0.2">
      <c r="A100" s="113"/>
      <c r="B100" s="212" t="s">
        <v>240</v>
      </c>
      <c r="C100" s="213">
        <v>0</v>
      </c>
      <c r="O100" s="125"/>
      <c r="R100" s="133"/>
    </row>
    <row r="101" spans="1:19" x14ac:dyDescent="0.2">
      <c r="B101" s="211"/>
      <c r="C101" s="213"/>
      <c r="Q101" s="178"/>
      <c r="R101" s="179"/>
      <c r="S101" s="125"/>
    </row>
    <row r="102" spans="1:19" x14ac:dyDescent="0.2">
      <c r="A102" s="133"/>
      <c r="B102" s="211" t="s">
        <v>8</v>
      </c>
      <c r="C102" s="216" t="s">
        <v>126</v>
      </c>
      <c r="O102" s="125"/>
      <c r="R102" s="133"/>
    </row>
    <row r="103" spans="1:19" x14ac:dyDescent="0.2">
      <c r="A103" s="133"/>
      <c r="B103" s="211" t="s">
        <v>126</v>
      </c>
      <c r="C103" s="214" t="s">
        <v>214</v>
      </c>
      <c r="O103" s="125"/>
      <c r="R103" s="133"/>
    </row>
    <row r="104" spans="1:19" x14ac:dyDescent="0.2">
      <c r="A104" s="133"/>
      <c r="B104" s="211" t="s">
        <v>128</v>
      </c>
      <c r="C104" s="214">
        <v>1</v>
      </c>
      <c r="O104" s="125"/>
      <c r="R104" s="133"/>
    </row>
    <row r="105" spans="1:19" x14ac:dyDescent="0.2">
      <c r="A105" s="133"/>
      <c r="B105" s="211" t="s">
        <v>129</v>
      </c>
      <c r="C105" s="214">
        <v>10</v>
      </c>
      <c r="O105" s="125"/>
      <c r="R105" s="133"/>
    </row>
    <row r="106" spans="1:19" x14ac:dyDescent="0.2">
      <c r="A106" s="133"/>
      <c r="B106" s="211" t="s">
        <v>130</v>
      </c>
      <c r="C106" s="214">
        <v>1</v>
      </c>
      <c r="O106" s="125"/>
      <c r="R106" s="133"/>
    </row>
    <row r="107" spans="1:19" x14ac:dyDescent="0.2">
      <c r="A107" s="133"/>
      <c r="B107" s="211"/>
      <c r="C107" s="215"/>
      <c r="O107" s="125"/>
      <c r="R107" s="133"/>
    </row>
    <row r="108" spans="1:19" x14ac:dyDescent="0.2">
      <c r="A108" s="133"/>
      <c r="B108" s="211" t="s">
        <v>8</v>
      </c>
      <c r="C108" s="212" t="s">
        <v>226</v>
      </c>
      <c r="O108" s="125"/>
      <c r="R108" s="133"/>
    </row>
    <row r="109" spans="1:19" x14ac:dyDescent="0.2">
      <c r="A109" s="133"/>
      <c r="B109" s="211" t="s">
        <v>17</v>
      </c>
      <c r="C109" s="213">
        <v>2</v>
      </c>
      <c r="O109" s="125"/>
      <c r="R109" s="133"/>
    </row>
    <row r="110" spans="1:19" x14ac:dyDescent="0.2">
      <c r="A110" s="133"/>
      <c r="B110" s="211" t="s">
        <v>136</v>
      </c>
      <c r="C110" s="214">
        <v>0.1</v>
      </c>
      <c r="O110" s="125"/>
      <c r="R110" s="133"/>
    </row>
    <row r="111" spans="1:19" x14ac:dyDescent="0.2">
      <c r="A111" s="133"/>
      <c r="B111" s="211"/>
      <c r="C111" s="213"/>
      <c r="O111" s="125"/>
      <c r="R111" s="133"/>
    </row>
    <row r="112" spans="1:19" x14ac:dyDescent="0.2">
      <c r="A112" s="133"/>
      <c r="B112" s="211" t="s">
        <v>8</v>
      </c>
      <c r="C112" s="212" t="s">
        <v>9</v>
      </c>
      <c r="O112" s="125"/>
      <c r="R112" s="133"/>
    </row>
    <row r="113" spans="1:19" x14ac:dyDescent="0.2">
      <c r="A113" s="133"/>
      <c r="B113" s="211" t="s">
        <v>17</v>
      </c>
      <c r="C113" s="213">
        <v>3</v>
      </c>
      <c r="O113" s="125"/>
      <c r="R113" s="133"/>
    </row>
    <row r="114" spans="1:19" x14ac:dyDescent="0.2">
      <c r="B114" s="211" t="s">
        <v>166</v>
      </c>
      <c r="C114" s="213" t="s">
        <v>245</v>
      </c>
      <c r="Q114" s="178"/>
      <c r="R114" s="179"/>
      <c r="S114" s="125"/>
    </row>
    <row r="115" spans="1:19" x14ac:dyDescent="0.2">
      <c r="A115" s="133"/>
      <c r="B115" s="211"/>
      <c r="C115" s="215"/>
      <c r="O115" s="125"/>
      <c r="R115" s="133"/>
    </row>
    <row r="116" spans="1:19" x14ac:dyDescent="0.2">
      <c r="A116" s="133"/>
      <c r="B116" s="211" t="s">
        <v>8</v>
      </c>
      <c r="C116" s="212" t="s">
        <v>9</v>
      </c>
      <c r="O116" s="125"/>
      <c r="R116" s="133"/>
    </row>
    <row r="117" spans="1:19" x14ac:dyDescent="0.2">
      <c r="A117" s="133"/>
      <c r="B117" s="211" t="s">
        <v>17</v>
      </c>
      <c r="C117" s="213">
        <v>1</v>
      </c>
      <c r="O117" s="125"/>
      <c r="R117" s="133"/>
    </row>
    <row r="118" spans="1:19" x14ac:dyDescent="0.2">
      <c r="B118" s="211" t="s">
        <v>166</v>
      </c>
      <c r="C118" s="213" t="s">
        <v>246</v>
      </c>
      <c r="Q118" s="178"/>
      <c r="R118" s="179"/>
      <c r="S118" s="125"/>
    </row>
    <row r="119" spans="1:19" x14ac:dyDescent="0.2">
      <c r="B119" s="211"/>
      <c r="C119" s="213"/>
      <c r="Q119" s="178"/>
      <c r="R119" s="179"/>
      <c r="S119" s="125"/>
    </row>
    <row r="120" spans="1:19" x14ac:dyDescent="0.2">
      <c r="A120" s="133"/>
      <c r="B120" s="211" t="s">
        <v>8</v>
      </c>
      <c r="C120" s="212" t="s">
        <v>9</v>
      </c>
      <c r="O120" s="125"/>
      <c r="R120" s="133"/>
    </row>
    <row r="121" spans="1:19" x14ac:dyDescent="0.2">
      <c r="A121" s="133"/>
      <c r="B121" s="211" t="s">
        <v>17</v>
      </c>
      <c r="C121" s="213">
        <v>2</v>
      </c>
      <c r="O121" s="125"/>
      <c r="R121" s="133"/>
    </row>
    <row r="122" spans="1:19" x14ac:dyDescent="0.2">
      <c r="A122" s="133"/>
      <c r="B122" s="211" t="s">
        <v>136</v>
      </c>
      <c r="C122" s="214">
        <v>0.65</v>
      </c>
      <c r="O122" s="125"/>
      <c r="R122" s="133"/>
    </row>
    <row r="123" spans="1:19" x14ac:dyDescent="0.2">
      <c r="A123" s="133"/>
      <c r="B123" s="211"/>
      <c r="C123" s="215"/>
      <c r="O123" s="125"/>
      <c r="R123" s="133"/>
    </row>
    <row r="124" spans="1:19" x14ac:dyDescent="0.2">
      <c r="A124" s="133"/>
      <c r="B124" s="211" t="s">
        <v>8</v>
      </c>
      <c r="C124" s="212" t="s">
        <v>9</v>
      </c>
      <c r="O124" s="125"/>
      <c r="R124" s="133"/>
    </row>
    <row r="125" spans="1:19" x14ac:dyDescent="0.2">
      <c r="A125" s="133"/>
      <c r="B125" s="211" t="s">
        <v>17</v>
      </c>
      <c r="C125" s="213">
        <v>1</v>
      </c>
      <c r="O125" s="125"/>
      <c r="R125" s="133"/>
    </row>
    <row r="126" spans="1:19" x14ac:dyDescent="0.2">
      <c r="B126" s="211" t="s">
        <v>166</v>
      </c>
      <c r="C126" s="213" t="s">
        <v>247</v>
      </c>
      <c r="Q126" s="178"/>
      <c r="R126" s="179"/>
      <c r="S126" s="125"/>
    </row>
    <row r="127" spans="1:19" x14ac:dyDescent="0.2">
      <c r="B127" s="211"/>
      <c r="C127" s="213"/>
      <c r="Q127" s="178"/>
      <c r="R127" s="179"/>
      <c r="S127" s="125"/>
    </row>
    <row r="128" spans="1:19" x14ac:dyDescent="0.2">
      <c r="A128" s="133"/>
      <c r="B128" s="211" t="s">
        <v>8</v>
      </c>
      <c r="C128" s="212" t="s">
        <v>9</v>
      </c>
      <c r="O128" s="125"/>
      <c r="R128" s="133"/>
    </row>
    <row r="129" spans="1:19" x14ac:dyDescent="0.2">
      <c r="A129" s="133"/>
      <c r="B129" s="211" t="s">
        <v>17</v>
      </c>
      <c r="C129" s="213">
        <v>1</v>
      </c>
      <c r="O129" s="125"/>
      <c r="R129" s="133"/>
    </row>
    <row r="130" spans="1:19" x14ac:dyDescent="0.2">
      <c r="B130" s="211" t="s">
        <v>166</v>
      </c>
      <c r="C130" s="213" t="s">
        <v>242</v>
      </c>
      <c r="Q130" s="178"/>
      <c r="R130" s="179"/>
      <c r="S130" s="125"/>
    </row>
    <row r="131" spans="1:19" x14ac:dyDescent="0.2">
      <c r="A131" s="133"/>
      <c r="B131" s="211"/>
      <c r="C131" s="215"/>
      <c r="O131" s="125"/>
      <c r="R131" s="133"/>
    </row>
    <row r="132" spans="1:19" x14ac:dyDescent="0.2">
      <c r="A132" s="133"/>
      <c r="B132" s="211" t="s">
        <v>8</v>
      </c>
      <c r="C132" s="213" t="s">
        <v>132</v>
      </c>
      <c r="O132" s="125"/>
      <c r="R132" s="133"/>
    </row>
    <row r="133" spans="1:19" x14ac:dyDescent="0.2">
      <c r="A133" s="133"/>
      <c r="B133" s="211" t="s">
        <v>132</v>
      </c>
      <c r="C133" s="214" t="s">
        <v>214</v>
      </c>
      <c r="O133" s="125"/>
      <c r="R133" s="133"/>
    </row>
    <row r="134" spans="1:19" x14ac:dyDescent="0.2">
      <c r="A134" s="133"/>
      <c r="B134" s="211"/>
      <c r="C134" s="214"/>
      <c r="O134" s="125"/>
      <c r="R134" s="133"/>
    </row>
    <row r="135" spans="1:19" x14ac:dyDescent="0.2">
      <c r="A135" s="133"/>
      <c r="B135" s="211" t="s">
        <v>8</v>
      </c>
      <c r="C135" s="212" t="s">
        <v>9</v>
      </c>
      <c r="O135" s="125"/>
      <c r="R135" s="133"/>
    </row>
    <row r="136" spans="1:19" x14ac:dyDescent="0.2">
      <c r="A136" s="133"/>
      <c r="B136" s="211" t="s">
        <v>17</v>
      </c>
      <c r="C136" s="213">
        <v>20</v>
      </c>
      <c r="O136" s="125"/>
      <c r="R136" s="133"/>
    </row>
    <row r="137" spans="1:19" x14ac:dyDescent="0.2">
      <c r="B137" s="211" t="s">
        <v>166</v>
      </c>
      <c r="C137" s="213" t="s">
        <v>248</v>
      </c>
      <c r="Q137" s="178"/>
      <c r="R137" s="179"/>
      <c r="S137" s="125"/>
    </row>
    <row r="138" spans="1:19" x14ac:dyDescent="0.2">
      <c r="A138" s="133"/>
      <c r="B138" s="211"/>
      <c r="C138" s="213"/>
      <c r="O138" s="125"/>
      <c r="R138" s="133"/>
    </row>
    <row r="139" spans="1:19" x14ac:dyDescent="0.2">
      <c r="A139" s="133"/>
      <c r="B139" s="211" t="s">
        <v>8</v>
      </c>
      <c r="C139" s="216" t="s">
        <v>126</v>
      </c>
      <c r="O139" s="125"/>
      <c r="R139" s="133"/>
    </row>
    <row r="140" spans="1:19" x14ac:dyDescent="0.2">
      <c r="A140" s="133"/>
      <c r="B140" s="211" t="s">
        <v>126</v>
      </c>
      <c r="C140" s="214" t="s">
        <v>215</v>
      </c>
      <c r="O140" s="125"/>
      <c r="R140" s="133"/>
    </row>
    <row r="141" spans="1:19" x14ac:dyDescent="0.2">
      <c r="A141" s="133"/>
      <c r="B141" s="211" t="s">
        <v>128</v>
      </c>
      <c r="C141" s="214">
        <v>1</v>
      </c>
      <c r="O141" s="125"/>
      <c r="R141" s="133"/>
    </row>
    <row r="142" spans="1:19" x14ac:dyDescent="0.2">
      <c r="A142" s="133"/>
      <c r="B142" s="211" t="s">
        <v>129</v>
      </c>
      <c r="C142" s="214">
        <v>10</v>
      </c>
      <c r="O142" s="125"/>
      <c r="R142" s="133"/>
    </row>
    <row r="143" spans="1:19" x14ac:dyDescent="0.2">
      <c r="A143" s="133"/>
      <c r="B143" s="211" t="s">
        <v>130</v>
      </c>
      <c r="C143" s="214">
        <v>1</v>
      </c>
      <c r="O143" s="125"/>
      <c r="R143" s="133"/>
    </row>
    <row r="144" spans="1:19" x14ac:dyDescent="0.2">
      <c r="A144" s="133"/>
      <c r="B144" s="211"/>
      <c r="C144" s="214"/>
      <c r="O144" s="125"/>
      <c r="R144" s="133"/>
    </row>
    <row r="145" spans="1:19" x14ac:dyDescent="0.2">
      <c r="A145" s="133"/>
      <c r="B145" s="211" t="s">
        <v>8</v>
      </c>
      <c r="C145" s="212" t="s">
        <v>9</v>
      </c>
      <c r="O145" s="125"/>
      <c r="R145" s="133"/>
    </row>
    <row r="146" spans="1:19" x14ac:dyDescent="0.2">
      <c r="A146" s="133"/>
      <c r="B146" s="211" t="s">
        <v>17</v>
      </c>
      <c r="C146" s="213">
        <v>1</v>
      </c>
      <c r="O146" s="125"/>
      <c r="R146" s="133"/>
    </row>
    <row r="147" spans="1:19" x14ac:dyDescent="0.2">
      <c r="A147" s="113"/>
      <c r="B147" s="211" t="s">
        <v>240</v>
      </c>
      <c r="C147" s="214" t="s">
        <v>249</v>
      </c>
      <c r="O147" s="125"/>
      <c r="R147" s="133"/>
    </row>
    <row r="148" spans="1:19" x14ac:dyDescent="0.2">
      <c r="A148" s="113"/>
      <c r="B148" s="211"/>
      <c r="C148" s="214"/>
      <c r="O148" s="125"/>
      <c r="R148" s="133"/>
    </row>
    <row r="149" spans="1:19" x14ac:dyDescent="0.2">
      <c r="A149" s="133"/>
      <c r="B149" s="211" t="s">
        <v>8</v>
      </c>
      <c r="C149" s="213" t="s">
        <v>132</v>
      </c>
      <c r="O149" s="125"/>
      <c r="R149" s="133"/>
    </row>
    <row r="150" spans="1:19" x14ac:dyDescent="0.2">
      <c r="A150" s="133"/>
      <c r="B150" s="211" t="s">
        <v>132</v>
      </c>
      <c r="C150" s="214" t="s">
        <v>215</v>
      </c>
      <c r="O150" s="125"/>
      <c r="R150" s="133"/>
    </row>
    <row r="151" spans="1:19" x14ac:dyDescent="0.2">
      <c r="B151" s="211"/>
      <c r="C151" s="213"/>
      <c r="Q151" s="178"/>
      <c r="R151" s="179"/>
      <c r="S151" s="125"/>
    </row>
    <row r="152" spans="1:19" x14ac:dyDescent="0.2">
      <c r="A152" s="133"/>
      <c r="B152" s="211" t="s">
        <v>8</v>
      </c>
      <c r="C152" s="212" t="s">
        <v>9</v>
      </c>
      <c r="O152" s="125"/>
      <c r="R152" s="133"/>
    </row>
    <row r="153" spans="1:19" x14ac:dyDescent="0.2">
      <c r="A153" s="133"/>
      <c r="B153" s="211" t="s">
        <v>17</v>
      </c>
      <c r="C153" s="213">
        <v>1</v>
      </c>
      <c r="O153" s="125"/>
      <c r="R153" s="133"/>
    </row>
    <row r="154" spans="1:19" x14ac:dyDescent="0.2">
      <c r="A154" s="113"/>
      <c r="B154" s="211" t="s">
        <v>240</v>
      </c>
      <c r="C154" s="214" t="s">
        <v>250</v>
      </c>
      <c r="O154" s="125"/>
      <c r="R154" s="133"/>
    </row>
    <row r="155" spans="1:19" x14ac:dyDescent="0.2">
      <c r="A155" s="133"/>
      <c r="B155" s="211"/>
      <c r="C155" s="213"/>
      <c r="O155" s="125"/>
      <c r="R155" s="133"/>
    </row>
    <row r="156" spans="1:19" x14ac:dyDescent="0.2">
      <c r="A156" s="133"/>
      <c r="B156" s="211" t="s">
        <v>8</v>
      </c>
      <c r="C156" s="212" t="s">
        <v>9</v>
      </c>
      <c r="O156" s="125"/>
      <c r="R156" s="133"/>
    </row>
    <row r="157" spans="1:19" x14ac:dyDescent="0.2">
      <c r="A157" s="133"/>
      <c r="B157" s="211" t="s">
        <v>17</v>
      </c>
      <c r="C157" s="213">
        <v>1</v>
      </c>
      <c r="O157" s="125"/>
      <c r="R157" s="133"/>
    </row>
    <row r="158" spans="1:19" x14ac:dyDescent="0.2">
      <c r="A158" s="113"/>
      <c r="B158" s="212" t="s">
        <v>251</v>
      </c>
      <c r="C158" s="213" t="s">
        <v>252</v>
      </c>
      <c r="O158" s="125"/>
      <c r="R158" s="133"/>
    </row>
    <row r="159" spans="1:19" x14ac:dyDescent="0.2">
      <c r="A159" s="133"/>
      <c r="B159" s="211"/>
      <c r="C159" s="213"/>
      <c r="O159" s="125"/>
      <c r="R159" s="133"/>
    </row>
    <row r="160" spans="1:19" x14ac:dyDescent="0.2">
      <c r="A160" s="133"/>
      <c r="B160" s="211" t="s">
        <v>8</v>
      </c>
      <c r="C160" s="213" t="s">
        <v>132</v>
      </c>
      <c r="O160" s="125"/>
      <c r="R160" s="133"/>
    </row>
    <row r="161" spans="1:19" x14ac:dyDescent="0.2">
      <c r="A161" s="133"/>
      <c r="B161" s="211" t="s">
        <v>132</v>
      </c>
      <c r="C161" s="214" t="s">
        <v>127</v>
      </c>
      <c r="O161" s="125"/>
      <c r="R161" s="133"/>
    </row>
    <row r="162" spans="1:19" x14ac:dyDescent="0.2">
      <c r="A162" s="113" t="s">
        <v>21</v>
      </c>
      <c r="B162" s="211" t="s">
        <v>253</v>
      </c>
      <c r="C162" s="213" t="s">
        <v>251</v>
      </c>
      <c r="O162" s="125"/>
      <c r="R162" s="133"/>
    </row>
    <row r="163" spans="1:19" x14ac:dyDescent="0.2">
      <c r="A163" s="113" t="s">
        <v>21</v>
      </c>
      <c r="B163" s="212" t="s">
        <v>254</v>
      </c>
      <c r="C163" s="213">
        <v>0.1</v>
      </c>
      <c r="O163" s="125"/>
      <c r="R163" s="133"/>
    </row>
    <row r="164" spans="1:19" x14ac:dyDescent="0.2">
      <c r="A164" s="133"/>
      <c r="B164" s="211"/>
      <c r="C164" s="213"/>
      <c r="O164" s="125"/>
      <c r="R164" s="133"/>
    </row>
    <row r="165" spans="1:19" x14ac:dyDescent="0.2">
      <c r="A165" s="133"/>
      <c r="B165" s="211" t="s">
        <v>8</v>
      </c>
      <c r="C165" s="212" t="s">
        <v>9</v>
      </c>
      <c r="O165" s="125"/>
      <c r="R165" s="133"/>
    </row>
    <row r="166" spans="1:19" ht="12.75" customHeight="1" x14ac:dyDescent="0.2">
      <c r="A166" s="133"/>
      <c r="B166" s="211" t="s">
        <v>17</v>
      </c>
      <c r="C166" s="213">
        <v>1</v>
      </c>
      <c r="O166" s="125"/>
      <c r="R166" s="133"/>
    </row>
    <row r="167" spans="1:19" ht="12" customHeight="1" x14ac:dyDescent="0.2">
      <c r="B167" s="211" t="s">
        <v>166</v>
      </c>
      <c r="C167" s="213" t="s">
        <v>255</v>
      </c>
      <c r="Q167" s="178"/>
      <c r="R167" s="179"/>
      <c r="S167" s="125"/>
    </row>
    <row r="168" spans="1:19" ht="12" customHeight="1" x14ac:dyDescent="0.2">
      <c r="B168" s="211"/>
      <c r="C168" s="213"/>
      <c r="Q168" s="178"/>
      <c r="R168" s="179"/>
      <c r="S168" s="125"/>
    </row>
    <row r="169" spans="1:19" ht="12" customHeight="1" x14ac:dyDescent="0.2">
      <c r="A169" s="133"/>
      <c r="B169" s="211" t="s">
        <v>8</v>
      </c>
      <c r="C169" s="212" t="s">
        <v>226</v>
      </c>
      <c r="O169" s="125"/>
      <c r="R169" s="133"/>
    </row>
    <row r="170" spans="1:19" ht="12" customHeight="1" x14ac:dyDescent="0.2">
      <c r="A170" s="133"/>
      <c r="B170" s="211" t="s">
        <v>17</v>
      </c>
      <c r="C170" s="213">
        <v>15</v>
      </c>
      <c r="O170" s="125"/>
      <c r="R170" s="133"/>
    </row>
    <row r="171" spans="1:19" ht="12" customHeight="1" x14ac:dyDescent="0.2">
      <c r="A171" s="133"/>
      <c r="B171" s="211" t="s">
        <v>136</v>
      </c>
      <c r="C171" s="214">
        <v>0.75</v>
      </c>
      <c r="O171" s="125"/>
      <c r="R171" s="133"/>
    </row>
    <row r="172" spans="1:19" ht="12" customHeight="1" x14ac:dyDescent="0.2">
      <c r="A172" s="133"/>
      <c r="B172" s="211"/>
      <c r="C172" s="214"/>
      <c r="O172" s="125"/>
      <c r="R172" s="133"/>
    </row>
    <row r="173" spans="1:19" ht="12" customHeight="1" x14ac:dyDescent="0.2">
      <c r="A173" s="133"/>
      <c r="B173" s="211" t="s">
        <v>8</v>
      </c>
      <c r="C173" s="212" t="s">
        <v>9</v>
      </c>
      <c r="O173" s="125"/>
      <c r="R173" s="133"/>
    </row>
    <row r="174" spans="1:19" ht="12" customHeight="1" x14ac:dyDescent="0.2">
      <c r="A174" s="133"/>
      <c r="B174" s="211" t="s">
        <v>17</v>
      </c>
      <c r="C174" s="213">
        <v>10</v>
      </c>
      <c r="O174" s="125"/>
      <c r="R174" s="133"/>
    </row>
    <row r="175" spans="1:19" ht="12" customHeight="1" x14ac:dyDescent="0.2">
      <c r="A175" s="133"/>
      <c r="B175" s="212" t="s">
        <v>241</v>
      </c>
      <c r="C175" s="214">
        <v>0.1</v>
      </c>
      <c r="O175" s="125"/>
      <c r="R175" s="133"/>
    </row>
    <row r="176" spans="1:19" ht="12" customHeight="1" x14ac:dyDescent="0.2">
      <c r="A176" s="133"/>
      <c r="B176" s="212" t="s">
        <v>157</v>
      </c>
      <c r="C176" s="214">
        <v>-0.1</v>
      </c>
      <c r="O176" s="125"/>
      <c r="R176" s="133"/>
    </row>
    <row r="177" spans="1:19" s="125" customFormat="1" ht="12" customHeight="1" x14ac:dyDescent="0.2">
      <c r="B177" s="176"/>
      <c r="C177" s="138"/>
      <c r="S177" s="117"/>
    </row>
    <row r="178" spans="1:19" x14ac:dyDescent="0.2">
      <c r="A178" s="112" t="s">
        <v>30</v>
      </c>
      <c r="B178" s="217" t="s">
        <v>31</v>
      </c>
      <c r="C178" s="203" t="s">
        <v>237</v>
      </c>
      <c r="O178" s="125"/>
      <c r="R178" s="133"/>
    </row>
    <row r="179" spans="1:19" x14ac:dyDescent="0.2">
      <c r="A179" s="133"/>
      <c r="B179" s="218" t="s">
        <v>8</v>
      </c>
      <c r="C179" s="219" t="s">
        <v>9</v>
      </c>
      <c r="O179" s="125"/>
      <c r="R179" s="133"/>
    </row>
    <row r="180" spans="1:19" x14ac:dyDescent="0.2">
      <c r="A180" s="133"/>
      <c r="B180" s="218" t="s">
        <v>17</v>
      </c>
      <c r="C180" s="220">
        <v>10</v>
      </c>
      <c r="O180" s="125"/>
      <c r="R180" s="133"/>
    </row>
    <row r="181" spans="1:19" x14ac:dyDescent="0.2">
      <c r="A181" s="113"/>
      <c r="B181" s="219" t="s">
        <v>240</v>
      </c>
      <c r="C181" s="221">
        <v>0</v>
      </c>
      <c r="O181" s="125"/>
      <c r="R181" s="133"/>
    </row>
    <row r="182" spans="1:19" x14ac:dyDescent="0.2">
      <c r="A182" s="133"/>
      <c r="B182" s="219" t="s">
        <v>241</v>
      </c>
      <c r="C182" s="221">
        <v>-0.3</v>
      </c>
      <c r="O182" s="125"/>
      <c r="R182" s="133"/>
    </row>
    <row r="183" spans="1:19" x14ac:dyDescent="0.2">
      <c r="A183" s="133"/>
      <c r="B183" s="219" t="s">
        <v>157</v>
      </c>
      <c r="C183" s="221">
        <v>-0.3</v>
      </c>
      <c r="O183" s="125"/>
      <c r="R183" s="133"/>
    </row>
    <row r="184" spans="1:19" x14ac:dyDescent="0.2">
      <c r="A184" s="133"/>
      <c r="B184" s="218"/>
      <c r="C184" s="222"/>
      <c r="O184" s="125"/>
      <c r="R184" s="133"/>
    </row>
    <row r="185" spans="1:19" x14ac:dyDescent="0.2">
      <c r="A185" s="133"/>
      <c r="B185" s="218" t="s">
        <v>8</v>
      </c>
      <c r="C185" s="219" t="s">
        <v>9</v>
      </c>
      <c r="O185" s="125"/>
      <c r="R185" s="133"/>
    </row>
    <row r="186" spans="1:19" x14ac:dyDescent="0.2">
      <c r="A186" s="133"/>
      <c r="B186" s="218" t="s">
        <v>17</v>
      </c>
      <c r="C186" s="220">
        <v>1</v>
      </c>
      <c r="O186" s="125"/>
      <c r="R186" s="133"/>
    </row>
    <row r="187" spans="1:19" x14ac:dyDescent="0.2">
      <c r="B187" s="218" t="s">
        <v>166</v>
      </c>
      <c r="C187" s="220" t="s">
        <v>256</v>
      </c>
      <c r="Q187" s="178"/>
      <c r="R187" s="179"/>
      <c r="S187" s="125"/>
    </row>
    <row r="188" spans="1:19" x14ac:dyDescent="0.2">
      <c r="B188" s="218"/>
      <c r="C188" s="220"/>
      <c r="Q188" s="178"/>
      <c r="R188" s="179"/>
      <c r="S188" s="125"/>
    </row>
    <row r="189" spans="1:19" x14ac:dyDescent="0.2">
      <c r="B189" s="218" t="s">
        <v>8</v>
      </c>
      <c r="C189" s="223" t="s">
        <v>126</v>
      </c>
      <c r="Q189" s="178"/>
      <c r="R189" s="179"/>
      <c r="S189" s="125"/>
    </row>
    <row r="190" spans="1:19" x14ac:dyDescent="0.2">
      <c r="B190" s="218" t="s">
        <v>126</v>
      </c>
      <c r="C190" s="221" t="s">
        <v>127</v>
      </c>
      <c r="Q190" s="178"/>
      <c r="R190" s="179"/>
      <c r="S190" s="125"/>
    </row>
    <row r="191" spans="1:19" x14ac:dyDescent="0.2">
      <c r="B191" s="218" t="s">
        <v>128</v>
      </c>
      <c r="C191" s="221">
        <v>1</v>
      </c>
      <c r="Q191" s="178"/>
      <c r="R191" s="179"/>
      <c r="S191" s="125"/>
    </row>
    <row r="192" spans="1:19" x14ac:dyDescent="0.2">
      <c r="B192" s="218" t="s">
        <v>129</v>
      </c>
      <c r="C192" s="221">
        <v>18</v>
      </c>
      <c r="Q192" s="178"/>
      <c r="R192" s="179"/>
      <c r="S192" s="125"/>
    </row>
    <row r="193" spans="1:19" x14ac:dyDescent="0.2">
      <c r="B193" s="218" t="s">
        <v>130</v>
      </c>
      <c r="C193" s="221">
        <v>1</v>
      </c>
      <c r="Q193" s="178"/>
      <c r="R193" s="179"/>
      <c r="S193" s="125"/>
    </row>
    <row r="194" spans="1:19" x14ac:dyDescent="0.2">
      <c r="B194" s="218"/>
      <c r="C194" s="220"/>
      <c r="Q194" s="178"/>
      <c r="R194" s="179"/>
      <c r="S194" s="125"/>
    </row>
    <row r="195" spans="1:19" x14ac:dyDescent="0.2">
      <c r="A195" s="133"/>
      <c r="B195" s="218" t="s">
        <v>8</v>
      </c>
      <c r="C195" s="219" t="s">
        <v>9</v>
      </c>
      <c r="O195" s="125"/>
      <c r="R195" s="133"/>
    </row>
    <row r="196" spans="1:19" x14ac:dyDescent="0.2">
      <c r="A196" s="133"/>
      <c r="B196" s="218" t="s">
        <v>17</v>
      </c>
      <c r="C196" s="220">
        <v>1</v>
      </c>
      <c r="O196" s="125"/>
      <c r="R196" s="133"/>
    </row>
    <row r="197" spans="1:19" x14ac:dyDescent="0.2">
      <c r="A197" s="113"/>
      <c r="B197" s="218" t="s">
        <v>243</v>
      </c>
      <c r="C197" s="220" t="s">
        <v>244</v>
      </c>
      <c r="O197" s="125"/>
      <c r="R197" s="133"/>
    </row>
    <row r="198" spans="1:19" x14ac:dyDescent="0.2">
      <c r="B198" s="218"/>
      <c r="C198" s="220"/>
      <c r="Q198" s="178"/>
      <c r="R198" s="179"/>
      <c r="S198" s="125"/>
    </row>
    <row r="199" spans="1:19" x14ac:dyDescent="0.2">
      <c r="A199" s="133"/>
      <c r="B199" s="218" t="s">
        <v>8</v>
      </c>
      <c r="C199" s="219" t="s">
        <v>9</v>
      </c>
      <c r="O199" s="125"/>
      <c r="R199" s="133"/>
    </row>
    <row r="200" spans="1:19" x14ac:dyDescent="0.2">
      <c r="A200" s="133"/>
      <c r="B200" s="218" t="s">
        <v>17</v>
      </c>
      <c r="C200" s="220">
        <v>1</v>
      </c>
      <c r="O200" s="125"/>
      <c r="R200" s="133"/>
    </row>
    <row r="201" spans="1:19" x14ac:dyDescent="0.2">
      <c r="A201" s="113"/>
      <c r="B201" s="219" t="s">
        <v>240</v>
      </c>
      <c r="C201" s="220">
        <v>0</v>
      </c>
      <c r="O201" s="125"/>
      <c r="R201" s="133"/>
    </row>
    <row r="202" spans="1:19" x14ac:dyDescent="0.2">
      <c r="B202" s="218"/>
      <c r="C202" s="220"/>
      <c r="Q202" s="178"/>
      <c r="R202" s="179"/>
      <c r="S202" s="125"/>
    </row>
    <row r="203" spans="1:19" x14ac:dyDescent="0.2">
      <c r="A203" s="133"/>
      <c r="B203" s="218" t="s">
        <v>8</v>
      </c>
      <c r="C203" s="223" t="s">
        <v>126</v>
      </c>
      <c r="O203" s="125"/>
      <c r="R203" s="133"/>
    </row>
    <row r="204" spans="1:19" x14ac:dyDescent="0.2">
      <c r="A204" s="133"/>
      <c r="B204" s="218" t="s">
        <v>126</v>
      </c>
      <c r="C204" s="221" t="s">
        <v>214</v>
      </c>
      <c r="O204" s="125"/>
      <c r="R204" s="133"/>
    </row>
    <row r="205" spans="1:19" x14ac:dyDescent="0.2">
      <c r="A205" s="133"/>
      <c r="B205" s="218" t="s">
        <v>128</v>
      </c>
      <c r="C205" s="221">
        <v>1</v>
      </c>
      <c r="O205" s="125"/>
      <c r="R205" s="133"/>
    </row>
    <row r="206" spans="1:19" x14ac:dyDescent="0.2">
      <c r="A206" s="133"/>
      <c r="B206" s="218" t="s">
        <v>129</v>
      </c>
      <c r="C206" s="221">
        <v>10</v>
      </c>
      <c r="O206" s="125"/>
      <c r="R206" s="133"/>
    </row>
    <row r="207" spans="1:19" x14ac:dyDescent="0.2">
      <c r="A207" s="133"/>
      <c r="B207" s="218" t="s">
        <v>130</v>
      </c>
      <c r="C207" s="221">
        <v>1</v>
      </c>
      <c r="O207" s="125"/>
      <c r="R207" s="133"/>
    </row>
    <row r="208" spans="1:19" x14ac:dyDescent="0.2">
      <c r="A208" s="133"/>
      <c r="B208" s="218"/>
      <c r="C208" s="222"/>
      <c r="O208" s="125"/>
      <c r="R208" s="133"/>
    </row>
    <row r="209" spans="1:19" x14ac:dyDescent="0.2">
      <c r="A209" s="133"/>
      <c r="B209" s="218" t="s">
        <v>8</v>
      </c>
      <c r="C209" s="219" t="s">
        <v>226</v>
      </c>
      <c r="O209" s="125"/>
      <c r="R209" s="133"/>
    </row>
    <row r="210" spans="1:19" x14ac:dyDescent="0.2">
      <c r="A210" s="133"/>
      <c r="B210" s="218" t="s">
        <v>17</v>
      </c>
      <c r="C210" s="220">
        <v>2</v>
      </c>
      <c r="O210" s="125"/>
      <c r="R210" s="133"/>
    </row>
    <row r="211" spans="1:19" x14ac:dyDescent="0.2">
      <c r="A211" s="133"/>
      <c r="B211" s="218" t="s">
        <v>137</v>
      </c>
      <c r="C211" s="221">
        <v>2</v>
      </c>
      <c r="O211" s="125"/>
      <c r="R211" s="133"/>
    </row>
    <row r="212" spans="1:19" x14ac:dyDescent="0.2">
      <c r="A212" s="133"/>
      <c r="B212" s="218"/>
      <c r="C212" s="220"/>
      <c r="O212" s="125"/>
      <c r="R212" s="133"/>
    </row>
    <row r="213" spans="1:19" x14ac:dyDescent="0.2">
      <c r="A213" s="133"/>
      <c r="B213" s="218" t="s">
        <v>8</v>
      </c>
      <c r="C213" s="219" t="s">
        <v>9</v>
      </c>
      <c r="O213" s="125"/>
      <c r="R213" s="133"/>
    </row>
    <row r="214" spans="1:19" x14ac:dyDescent="0.2">
      <c r="A214" s="133"/>
      <c r="B214" s="218" t="s">
        <v>17</v>
      </c>
      <c r="C214" s="220">
        <v>3</v>
      </c>
      <c r="O214" s="125"/>
      <c r="R214" s="133"/>
    </row>
    <row r="215" spans="1:19" x14ac:dyDescent="0.2">
      <c r="B215" s="218" t="s">
        <v>166</v>
      </c>
      <c r="C215" s="220" t="s">
        <v>257</v>
      </c>
      <c r="Q215" s="178"/>
      <c r="R215" s="179"/>
      <c r="S215" s="125"/>
    </row>
    <row r="216" spans="1:19" x14ac:dyDescent="0.2">
      <c r="A216" s="133"/>
      <c r="B216" s="218"/>
      <c r="C216" s="222"/>
      <c r="O216" s="125"/>
      <c r="R216" s="133"/>
    </row>
    <row r="217" spans="1:19" x14ac:dyDescent="0.2">
      <c r="A217" s="133"/>
      <c r="B217" s="218" t="s">
        <v>8</v>
      </c>
      <c r="C217" s="219" t="s">
        <v>9</v>
      </c>
      <c r="O217" s="125"/>
      <c r="R217" s="133"/>
    </row>
    <row r="218" spans="1:19" x14ac:dyDescent="0.2">
      <c r="A218" s="133"/>
      <c r="B218" s="218" t="s">
        <v>17</v>
      </c>
      <c r="C218" s="220">
        <v>1</v>
      </c>
      <c r="O218" s="125"/>
      <c r="R218" s="133"/>
    </row>
    <row r="219" spans="1:19" x14ac:dyDescent="0.2">
      <c r="B219" s="218" t="s">
        <v>166</v>
      </c>
      <c r="C219" s="220" t="s">
        <v>258</v>
      </c>
      <c r="Q219" s="178"/>
      <c r="R219" s="179"/>
      <c r="S219" s="125"/>
    </row>
    <row r="220" spans="1:19" x14ac:dyDescent="0.2">
      <c r="B220" s="218"/>
      <c r="C220" s="220"/>
      <c r="Q220" s="178"/>
      <c r="R220" s="179"/>
      <c r="S220" s="125"/>
    </row>
    <row r="221" spans="1:19" x14ac:dyDescent="0.2">
      <c r="A221" s="133"/>
      <c r="B221" s="218" t="s">
        <v>8</v>
      </c>
      <c r="C221" s="219" t="s">
        <v>9</v>
      </c>
      <c r="O221" s="125"/>
      <c r="R221" s="133"/>
    </row>
    <row r="222" spans="1:19" x14ac:dyDescent="0.2">
      <c r="A222" s="133"/>
      <c r="B222" s="218" t="s">
        <v>17</v>
      </c>
      <c r="C222" s="220">
        <v>2</v>
      </c>
      <c r="O222" s="125"/>
      <c r="R222" s="133"/>
    </row>
    <row r="223" spans="1:19" x14ac:dyDescent="0.2">
      <c r="A223" s="133"/>
      <c r="B223" s="218" t="s">
        <v>137</v>
      </c>
      <c r="C223" s="221">
        <v>1.5</v>
      </c>
      <c r="O223" s="125"/>
      <c r="R223" s="133"/>
    </row>
    <row r="224" spans="1:19" x14ac:dyDescent="0.2">
      <c r="A224" s="133"/>
      <c r="B224" s="218"/>
      <c r="C224" s="222"/>
      <c r="O224" s="125"/>
      <c r="R224" s="133"/>
    </row>
    <row r="225" spans="1:19" x14ac:dyDescent="0.2">
      <c r="A225" s="133"/>
      <c r="B225" s="218" t="s">
        <v>8</v>
      </c>
      <c r="C225" s="219" t="s">
        <v>9</v>
      </c>
      <c r="O225" s="125"/>
      <c r="R225" s="133"/>
    </row>
    <row r="226" spans="1:19" x14ac:dyDescent="0.2">
      <c r="A226" s="133"/>
      <c r="B226" s="218" t="s">
        <v>17</v>
      </c>
      <c r="C226" s="220">
        <v>1</v>
      </c>
      <c r="O226" s="125"/>
      <c r="R226" s="133"/>
    </row>
    <row r="227" spans="1:19" x14ac:dyDescent="0.2">
      <c r="B227" s="218" t="s">
        <v>166</v>
      </c>
      <c r="C227" s="220" t="s">
        <v>259</v>
      </c>
      <c r="Q227" s="178"/>
      <c r="R227" s="179"/>
      <c r="S227" s="125"/>
    </row>
    <row r="228" spans="1:19" x14ac:dyDescent="0.2">
      <c r="B228" s="218"/>
      <c r="C228" s="220"/>
      <c r="Q228" s="178"/>
      <c r="R228" s="179"/>
      <c r="S228" s="125"/>
    </row>
    <row r="229" spans="1:19" x14ac:dyDescent="0.2">
      <c r="A229" s="133"/>
      <c r="B229" s="218" t="s">
        <v>8</v>
      </c>
      <c r="C229" s="219" t="s">
        <v>9</v>
      </c>
      <c r="O229" s="125"/>
      <c r="R229" s="133"/>
    </row>
    <row r="230" spans="1:19" x14ac:dyDescent="0.2">
      <c r="A230" s="133"/>
      <c r="B230" s="218" t="s">
        <v>17</v>
      </c>
      <c r="C230" s="220">
        <v>1</v>
      </c>
      <c r="O230" s="125"/>
      <c r="R230" s="133"/>
    </row>
    <row r="231" spans="1:19" x14ac:dyDescent="0.2">
      <c r="B231" s="218" t="s">
        <v>166</v>
      </c>
      <c r="C231" s="220" t="s">
        <v>256</v>
      </c>
      <c r="Q231" s="178"/>
      <c r="R231" s="179"/>
      <c r="S231" s="125"/>
    </row>
    <row r="232" spans="1:19" x14ac:dyDescent="0.2">
      <c r="A232" s="133"/>
      <c r="B232" s="218"/>
      <c r="C232" s="222"/>
      <c r="O232" s="125"/>
      <c r="R232" s="133"/>
    </row>
    <row r="233" spans="1:19" x14ac:dyDescent="0.2">
      <c r="A233" s="133"/>
      <c r="B233" s="218" t="s">
        <v>8</v>
      </c>
      <c r="C233" s="220" t="s">
        <v>132</v>
      </c>
      <c r="O233" s="125"/>
      <c r="R233" s="133"/>
    </row>
    <row r="234" spans="1:19" x14ac:dyDescent="0.2">
      <c r="A234" s="133"/>
      <c r="B234" s="218" t="s">
        <v>132</v>
      </c>
      <c r="C234" s="221" t="s">
        <v>214</v>
      </c>
      <c r="O234" s="125"/>
      <c r="R234" s="133"/>
    </row>
    <row r="235" spans="1:19" x14ac:dyDescent="0.2">
      <c r="A235" s="133"/>
      <c r="B235" s="218"/>
      <c r="C235" s="221"/>
      <c r="O235" s="125"/>
      <c r="R235" s="133"/>
    </row>
    <row r="236" spans="1:19" x14ac:dyDescent="0.2">
      <c r="A236" s="133"/>
      <c r="B236" s="218" t="s">
        <v>8</v>
      </c>
      <c r="C236" s="219" t="s">
        <v>9</v>
      </c>
      <c r="O236" s="125"/>
      <c r="R236" s="133"/>
    </row>
    <row r="237" spans="1:19" x14ac:dyDescent="0.2">
      <c r="A237" s="133"/>
      <c r="B237" s="218" t="s">
        <v>17</v>
      </c>
      <c r="C237" s="220">
        <v>20</v>
      </c>
      <c r="O237" s="125"/>
      <c r="R237" s="133"/>
    </row>
    <row r="238" spans="1:19" x14ac:dyDescent="0.2">
      <c r="B238" s="218" t="s">
        <v>166</v>
      </c>
      <c r="C238" s="220" t="s">
        <v>248</v>
      </c>
      <c r="Q238" s="178"/>
      <c r="R238" s="179"/>
      <c r="S238" s="125"/>
    </row>
    <row r="239" spans="1:19" x14ac:dyDescent="0.2">
      <c r="A239" s="133"/>
      <c r="B239" s="218"/>
      <c r="C239" s="220"/>
      <c r="O239" s="125"/>
      <c r="R239" s="133"/>
    </row>
    <row r="240" spans="1:19" x14ac:dyDescent="0.2">
      <c r="A240" s="133"/>
      <c r="B240" s="218" t="s">
        <v>8</v>
      </c>
      <c r="C240" s="223" t="s">
        <v>126</v>
      </c>
      <c r="O240" s="125"/>
      <c r="R240" s="133"/>
    </row>
    <row r="241" spans="1:19" x14ac:dyDescent="0.2">
      <c r="A241" s="133"/>
      <c r="B241" s="218" t="s">
        <v>126</v>
      </c>
      <c r="C241" s="221" t="s">
        <v>215</v>
      </c>
      <c r="O241" s="125"/>
      <c r="R241" s="133"/>
    </row>
    <row r="242" spans="1:19" x14ac:dyDescent="0.2">
      <c r="A242" s="133"/>
      <c r="B242" s="218" t="s">
        <v>128</v>
      </c>
      <c r="C242" s="221">
        <v>1</v>
      </c>
      <c r="O242" s="125"/>
      <c r="R242" s="133"/>
    </row>
    <row r="243" spans="1:19" x14ac:dyDescent="0.2">
      <c r="A243" s="133"/>
      <c r="B243" s="218" t="s">
        <v>129</v>
      </c>
      <c r="C243" s="221">
        <v>10</v>
      </c>
      <c r="O243" s="125"/>
      <c r="R243" s="133"/>
    </row>
    <row r="244" spans="1:19" x14ac:dyDescent="0.2">
      <c r="A244" s="133"/>
      <c r="B244" s="218" t="s">
        <v>130</v>
      </c>
      <c r="C244" s="221">
        <v>1</v>
      </c>
      <c r="O244" s="125"/>
      <c r="R244" s="133"/>
    </row>
    <row r="245" spans="1:19" x14ac:dyDescent="0.2">
      <c r="A245" s="133"/>
      <c r="B245" s="218"/>
      <c r="C245" s="221"/>
      <c r="O245" s="125"/>
      <c r="R245" s="133"/>
    </row>
    <row r="246" spans="1:19" x14ac:dyDescent="0.2">
      <c r="A246" s="133"/>
      <c r="B246" s="218" t="s">
        <v>8</v>
      </c>
      <c r="C246" s="219" t="s">
        <v>9</v>
      </c>
      <c r="O246" s="125"/>
      <c r="R246" s="133"/>
    </row>
    <row r="247" spans="1:19" x14ac:dyDescent="0.2">
      <c r="A247" s="133"/>
      <c r="B247" s="218" t="s">
        <v>17</v>
      </c>
      <c r="C247" s="220">
        <v>1</v>
      </c>
      <c r="O247" s="125"/>
      <c r="R247" s="133"/>
    </row>
    <row r="248" spans="1:19" x14ac:dyDescent="0.2">
      <c r="A248" s="113"/>
      <c r="B248" s="218" t="s">
        <v>240</v>
      </c>
      <c r="C248" s="221" t="s">
        <v>260</v>
      </c>
      <c r="O248" s="125"/>
      <c r="R248" s="133"/>
    </row>
    <row r="249" spans="1:19" x14ac:dyDescent="0.2">
      <c r="A249" s="113"/>
      <c r="B249" s="218"/>
      <c r="C249" s="221"/>
      <c r="O249" s="125"/>
      <c r="R249" s="133"/>
    </row>
    <row r="250" spans="1:19" x14ac:dyDescent="0.2">
      <c r="A250" s="133"/>
      <c r="B250" s="218" t="s">
        <v>8</v>
      </c>
      <c r="C250" s="220" t="s">
        <v>132</v>
      </c>
      <c r="O250" s="125"/>
      <c r="R250" s="133"/>
    </row>
    <row r="251" spans="1:19" x14ac:dyDescent="0.2">
      <c r="A251" s="133"/>
      <c r="B251" s="218" t="s">
        <v>132</v>
      </c>
      <c r="C251" s="221" t="s">
        <v>215</v>
      </c>
      <c r="O251" s="125"/>
      <c r="R251" s="133"/>
    </row>
    <row r="252" spans="1:19" x14ac:dyDescent="0.2">
      <c r="B252" s="218"/>
      <c r="C252" s="220"/>
      <c r="Q252" s="178"/>
      <c r="R252" s="179"/>
      <c r="S252" s="125"/>
    </row>
    <row r="253" spans="1:19" x14ac:dyDescent="0.2">
      <c r="A253" s="133"/>
      <c r="B253" s="218" t="s">
        <v>8</v>
      </c>
      <c r="C253" s="219" t="s">
        <v>9</v>
      </c>
      <c r="O253" s="125"/>
      <c r="R253" s="133"/>
    </row>
    <row r="254" spans="1:19" x14ac:dyDescent="0.2">
      <c r="A254" s="133"/>
      <c r="B254" s="218" t="s">
        <v>17</v>
      </c>
      <c r="C254" s="220">
        <v>1</v>
      </c>
      <c r="O254" s="125"/>
      <c r="R254" s="133"/>
    </row>
    <row r="255" spans="1:19" x14ac:dyDescent="0.2">
      <c r="A255" s="113"/>
      <c r="B255" s="218" t="s">
        <v>240</v>
      </c>
      <c r="C255" s="221" t="s">
        <v>250</v>
      </c>
      <c r="O255" s="125"/>
      <c r="R255" s="133"/>
    </row>
    <row r="256" spans="1:19" x14ac:dyDescent="0.2">
      <c r="A256" s="133"/>
      <c r="B256" s="218"/>
      <c r="C256" s="220"/>
      <c r="O256" s="125"/>
      <c r="R256" s="133"/>
    </row>
    <row r="257" spans="1:19" x14ac:dyDescent="0.2">
      <c r="A257" s="133"/>
      <c r="B257" s="218" t="s">
        <v>8</v>
      </c>
      <c r="C257" s="219" t="s">
        <v>9</v>
      </c>
      <c r="O257" s="125"/>
      <c r="R257" s="133"/>
    </row>
    <row r="258" spans="1:19" x14ac:dyDescent="0.2">
      <c r="A258" s="133"/>
      <c r="B258" s="218" t="s">
        <v>17</v>
      </c>
      <c r="C258" s="220">
        <v>1</v>
      </c>
      <c r="O258" s="125"/>
      <c r="R258" s="133"/>
    </row>
    <row r="259" spans="1:19" x14ac:dyDescent="0.2">
      <c r="A259" s="113"/>
      <c r="B259" s="219" t="s">
        <v>251</v>
      </c>
      <c r="C259" s="220" t="s">
        <v>252</v>
      </c>
      <c r="O259" s="125"/>
      <c r="R259" s="133"/>
    </row>
    <row r="260" spans="1:19" x14ac:dyDescent="0.2">
      <c r="A260" s="133"/>
      <c r="B260" s="218"/>
      <c r="C260" s="220"/>
      <c r="O260" s="125"/>
      <c r="R260" s="133"/>
    </row>
    <row r="261" spans="1:19" x14ac:dyDescent="0.2">
      <c r="A261" s="133"/>
      <c r="B261" s="218" t="s">
        <v>8</v>
      </c>
      <c r="C261" s="220" t="s">
        <v>132</v>
      </c>
      <c r="O261" s="125"/>
      <c r="R261" s="133"/>
    </row>
    <row r="262" spans="1:19" x14ac:dyDescent="0.2">
      <c r="A262" s="133"/>
      <c r="B262" s="218" t="s">
        <v>132</v>
      </c>
      <c r="C262" s="221" t="s">
        <v>127</v>
      </c>
      <c r="O262" s="125"/>
      <c r="R262" s="133"/>
    </row>
    <row r="263" spans="1:19" x14ac:dyDescent="0.2">
      <c r="A263" s="113" t="s">
        <v>21</v>
      </c>
      <c r="B263" s="218" t="s">
        <v>253</v>
      </c>
      <c r="C263" s="220" t="s">
        <v>251</v>
      </c>
      <c r="O263" s="125"/>
      <c r="R263" s="133"/>
    </row>
    <row r="264" spans="1:19" x14ac:dyDescent="0.2">
      <c r="A264" s="113" t="s">
        <v>21</v>
      </c>
      <c r="B264" s="219" t="s">
        <v>254</v>
      </c>
      <c r="C264" s="220">
        <v>5.0000000000000001E-3</v>
      </c>
      <c r="O264" s="125"/>
      <c r="R264" s="133"/>
    </row>
    <row r="265" spans="1:19" x14ac:dyDescent="0.2">
      <c r="A265" s="133"/>
      <c r="B265" s="218"/>
      <c r="C265" s="220"/>
      <c r="O265" s="125"/>
      <c r="R265" s="133"/>
    </row>
    <row r="266" spans="1:19" x14ac:dyDescent="0.2">
      <c r="A266" s="133"/>
      <c r="B266" s="218" t="s">
        <v>8</v>
      </c>
      <c r="C266" s="219" t="s">
        <v>9</v>
      </c>
      <c r="O266" s="125"/>
      <c r="R266" s="133"/>
    </row>
    <row r="267" spans="1:19" ht="12.75" customHeight="1" x14ac:dyDescent="0.2">
      <c r="A267" s="133"/>
      <c r="B267" s="218" t="s">
        <v>17</v>
      </c>
      <c r="C267" s="220">
        <v>1</v>
      </c>
      <c r="O267" s="125"/>
      <c r="R267" s="133"/>
    </row>
    <row r="268" spans="1:19" ht="12" customHeight="1" x14ac:dyDescent="0.2">
      <c r="B268" s="218" t="s">
        <v>166</v>
      </c>
      <c r="C268" s="220" t="s">
        <v>261</v>
      </c>
      <c r="Q268" s="178"/>
      <c r="R268" s="179"/>
      <c r="S268" s="125"/>
    </row>
    <row r="269" spans="1:19" ht="12" customHeight="1" x14ac:dyDescent="0.2">
      <c r="B269" s="218" t="s">
        <v>133</v>
      </c>
      <c r="C269" s="220" t="s">
        <v>90</v>
      </c>
      <c r="Q269" s="178"/>
      <c r="R269" s="179"/>
      <c r="S269" s="125"/>
    </row>
    <row r="270" spans="1:19" ht="12" customHeight="1" x14ac:dyDescent="0.2">
      <c r="B270" s="218"/>
      <c r="C270" s="220"/>
      <c r="Q270" s="178"/>
      <c r="R270" s="179"/>
      <c r="S270" s="125"/>
    </row>
    <row r="271" spans="1:19" ht="12" customHeight="1" x14ac:dyDescent="0.2">
      <c r="A271" s="133"/>
      <c r="B271" s="218" t="s">
        <v>8</v>
      </c>
      <c r="C271" s="219" t="s">
        <v>226</v>
      </c>
      <c r="O271" s="125"/>
      <c r="R271" s="133"/>
    </row>
    <row r="272" spans="1:19" ht="12" customHeight="1" x14ac:dyDescent="0.2">
      <c r="A272" s="133"/>
      <c r="B272" s="218" t="s">
        <v>17</v>
      </c>
      <c r="C272" s="220">
        <v>60</v>
      </c>
      <c r="O272" s="125"/>
      <c r="R272" s="133"/>
    </row>
    <row r="273" spans="1:19" ht="12" customHeight="1" x14ac:dyDescent="0.2">
      <c r="A273" s="133"/>
      <c r="B273" s="218" t="s">
        <v>136</v>
      </c>
      <c r="C273" s="221">
        <v>0.85</v>
      </c>
      <c r="O273" s="125"/>
      <c r="R273" s="133"/>
    </row>
    <row r="274" spans="1:19" ht="12" customHeight="1" x14ac:dyDescent="0.2">
      <c r="A274" s="133"/>
      <c r="B274" s="218"/>
      <c r="C274" s="221"/>
      <c r="O274" s="125"/>
      <c r="R274" s="133"/>
    </row>
    <row r="275" spans="1:19" ht="12" customHeight="1" x14ac:dyDescent="0.2">
      <c r="A275" s="133"/>
      <c r="B275" s="218" t="s">
        <v>8</v>
      </c>
      <c r="C275" s="219" t="s">
        <v>9</v>
      </c>
      <c r="O275" s="125"/>
      <c r="R275" s="133"/>
    </row>
    <row r="276" spans="1:19" ht="12" customHeight="1" x14ac:dyDescent="0.2">
      <c r="A276" s="133"/>
      <c r="B276" s="218" t="s">
        <v>17</v>
      </c>
      <c r="C276" s="220">
        <v>10</v>
      </c>
      <c r="O276" s="125"/>
      <c r="R276" s="133"/>
    </row>
    <row r="277" spans="1:19" ht="12" customHeight="1" x14ac:dyDescent="0.2">
      <c r="A277" s="133"/>
      <c r="B277" s="219" t="s">
        <v>241</v>
      </c>
      <c r="C277" s="221">
        <v>0.1</v>
      </c>
      <c r="O277" s="125"/>
      <c r="R277" s="133"/>
    </row>
    <row r="278" spans="1:19" ht="12" customHeight="1" x14ac:dyDescent="0.2">
      <c r="A278" s="133"/>
      <c r="B278" s="219" t="s">
        <v>157</v>
      </c>
      <c r="C278" s="221">
        <v>-0.1</v>
      </c>
      <c r="O278" s="125"/>
      <c r="R278" s="133"/>
    </row>
    <row r="279" spans="1:19" s="125" customFormat="1" ht="12" customHeight="1" x14ac:dyDescent="0.2">
      <c r="B279" s="176"/>
      <c r="C279" s="224"/>
      <c r="S279" s="117"/>
    </row>
    <row r="280" spans="1:19" ht="12" customHeight="1" x14ac:dyDescent="0.2">
      <c r="A280" s="112" t="s">
        <v>7</v>
      </c>
    </row>
    <row r="281" spans="1:19" ht="12" customHeight="1" x14ac:dyDescent="0.2"/>
    <row r="282" spans="1:19" ht="12" customHeight="1" x14ac:dyDescent="0.2"/>
    <row r="283" spans="1:19" s="112" customFormat="1" ht="12" customHeight="1" x14ac:dyDescent="0.2">
      <c r="B283" s="133"/>
      <c r="C283" s="133"/>
      <c r="D283" s="133"/>
      <c r="E283" s="133"/>
      <c r="F283" s="125"/>
      <c r="G283" s="125"/>
      <c r="H283" s="125"/>
      <c r="I283" s="125"/>
      <c r="J283" s="125"/>
      <c r="K283" s="125"/>
      <c r="L283" s="125"/>
      <c r="M283" s="125"/>
      <c r="N283" s="125"/>
      <c r="O283" s="133"/>
      <c r="P283" s="133"/>
      <c r="Q283" s="133"/>
      <c r="R283" s="116"/>
      <c r="S283" s="116"/>
    </row>
    <row r="284" spans="1:19" s="112" customFormat="1" ht="12" customHeight="1" x14ac:dyDescent="0.2">
      <c r="B284" s="133"/>
      <c r="C284" s="133"/>
      <c r="D284" s="133"/>
      <c r="E284" s="133"/>
      <c r="F284" s="125"/>
      <c r="G284" s="125"/>
      <c r="H284" s="125"/>
      <c r="I284" s="125"/>
      <c r="J284" s="125"/>
      <c r="K284" s="125"/>
      <c r="L284" s="125"/>
      <c r="M284" s="125"/>
      <c r="N284" s="125"/>
      <c r="O284" s="133"/>
      <c r="P284" s="133"/>
      <c r="Q284" s="133"/>
      <c r="R284" s="116"/>
      <c r="S284" s="116"/>
    </row>
    <row r="285" spans="1:19" s="112" customFormat="1" ht="12" customHeight="1" x14ac:dyDescent="0.2">
      <c r="B285" s="133"/>
      <c r="C285" s="133"/>
      <c r="D285" s="133"/>
      <c r="E285" s="133"/>
      <c r="F285" s="125"/>
      <c r="G285" s="125"/>
      <c r="H285" s="125"/>
      <c r="I285" s="125"/>
      <c r="J285" s="125"/>
      <c r="K285" s="125"/>
      <c r="L285" s="125"/>
      <c r="M285" s="125"/>
      <c r="N285" s="125"/>
      <c r="O285" s="133"/>
      <c r="P285" s="133"/>
      <c r="Q285" s="133"/>
      <c r="R285" s="116"/>
      <c r="S285" s="116"/>
    </row>
    <row r="286" spans="1:19" s="112" customFormat="1" ht="12" customHeight="1" x14ac:dyDescent="0.2">
      <c r="B286" s="133"/>
      <c r="C286" s="133"/>
      <c r="D286" s="133"/>
      <c r="E286" s="133"/>
      <c r="F286" s="125"/>
      <c r="G286" s="125"/>
      <c r="H286" s="125"/>
      <c r="I286" s="125"/>
      <c r="J286" s="125"/>
      <c r="K286" s="125"/>
      <c r="L286" s="125"/>
      <c r="M286" s="125"/>
      <c r="N286" s="125"/>
      <c r="O286" s="133"/>
      <c r="P286" s="133"/>
      <c r="Q286" s="133"/>
      <c r="R286" s="116"/>
      <c r="S286" s="116"/>
    </row>
    <row r="287" spans="1:19" s="112" customFormat="1" ht="12" customHeight="1" x14ac:dyDescent="0.2">
      <c r="B287" s="133"/>
      <c r="C287" s="133"/>
      <c r="D287" s="133"/>
      <c r="E287" s="133"/>
      <c r="F287" s="125"/>
      <c r="G287" s="125"/>
      <c r="H287" s="125"/>
      <c r="I287" s="125"/>
      <c r="J287" s="125"/>
      <c r="K287" s="125"/>
      <c r="L287" s="125"/>
      <c r="M287" s="125"/>
      <c r="N287" s="125"/>
      <c r="O287" s="133"/>
      <c r="P287" s="133"/>
      <c r="Q287" s="133"/>
      <c r="R287" s="116"/>
      <c r="S287" s="116"/>
    </row>
    <row r="288" spans="1:19" s="112" customFormat="1" ht="12" customHeight="1" x14ac:dyDescent="0.2">
      <c r="B288" s="133"/>
      <c r="C288" s="133"/>
      <c r="D288" s="133"/>
      <c r="E288" s="133"/>
      <c r="F288" s="125"/>
      <c r="G288" s="125"/>
      <c r="H288" s="125"/>
      <c r="I288" s="125"/>
      <c r="J288" s="125"/>
      <c r="K288" s="125"/>
      <c r="L288" s="125"/>
      <c r="M288" s="125"/>
      <c r="N288" s="125"/>
      <c r="O288" s="133"/>
      <c r="P288" s="133"/>
      <c r="Q288" s="133"/>
      <c r="R288" s="116"/>
      <c r="S288" s="116"/>
    </row>
    <row r="289" spans="2:19" s="112" customFormat="1" ht="12" customHeight="1" x14ac:dyDescent="0.2">
      <c r="B289" s="133"/>
      <c r="C289" s="133"/>
      <c r="D289" s="133"/>
      <c r="E289" s="133"/>
      <c r="F289" s="125"/>
      <c r="G289" s="125"/>
      <c r="H289" s="125"/>
      <c r="I289" s="125"/>
      <c r="J289" s="125"/>
      <c r="K289" s="125"/>
      <c r="L289" s="125"/>
      <c r="M289" s="125"/>
      <c r="N289" s="125"/>
      <c r="O289" s="133"/>
      <c r="P289" s="133"/>
      <c r="Q289" s="133"/>
      <c r="R289" s="116"/>
      <c r="S289" s="116"/>
    </row>
    <row r="290" spans="2:19" s="112" customFormat="1" ht="12" customHeight="1" x14ac:dyDescent="0.2">
      <c r="B290" s="133"/>
      <c r="C290" s="133"/>
      <c r="D290" s="133"/>
      <c r="E290" s="133"/>
      <c r="F290" s="125"/>
      <c r="G290" s="125"/>
      <c r="H290" s="125"/>
      <c r="I290" s="125"/>
      <c r="J290" s="125"/>
      <c r="K290" s="125"/>
      <c r="L290" s="125"/>
      <c r="M290" s="125"/>
      <c r="N290" s="125"/>
      <c r="O290" s="133"/>
      <c r="P290" s="133"/>
      <c r="Q290" s="133"/>
      <c r="R290" s="116"/>
      <c r="S290" s="116"/>
    </row>
    <row r="291" spans="2:19" s="112" customFormat="1" ht="12" customHeight="1" x14ac:dyDescent="0.2">
      <c r="B291" s="133"/>
      <c r="C291" s="133"/>
      <c r="D291" s="133"/>
      <c r="E291" s="133"/>
      <c r="F291" s="125"/>
      <c r="G291" s="125"/>
      <c r="H291" s="125"/>
      <c r="I291" s="125"/>
      <c r="J291" s="125"/>
      <c r="K291" s="125"/>
      <c r="L291" s="125"/>
      <c r="M291" s="125"/>
      <c r="N291" s="125"/>
      <c r="O291" s="133"/>
      <c r="P291" s="133"/>
      <c r="Q291" s="133"/>
      <c r="R291" s="116"/>
      <c r="S291" s="116"/>
    </row>
    <row r="292" spans="2:19" s="112" customFormat="1" ht="12" customHeight="1" x14ac:dyDescent="0.2">
      <c r="B292" s="133"/>
      <c r="C292" s="133"/>
      <c r="D292" s="133"/>
      <c r="E292" s="133"/>
      <c r="F292" s="125"/>
      <c r="G292" s="125"/>
      <c r="H292" s="125"/>
      <c r="I292" s="125"/>
      <c r="J292" s="125"/>
      <c r="K292" s="125"/>
      <c r="L292" s="125"/>
      <c r="M292" s="125"/>
      <c r="N292" s="125"/>
      <c r="O292" s="133"/>
      <c r="P292" s="133"/>
      <c r="Q292" s="133"/>
      <c r="R292" s="116"/>
      <c r="S292" s="116"/>
    </row>
    <row r="293" spans="2:19" s="112" customFormat="1" ht="12" customHeight="1" x14ac:dyDescent="0.2">
      <c r="B293" s="133"/>
      <c r="C293" s="133"/>
      <c r="D293" s="133"/>
      <c r="E293" s="133"/>
      <c r="F293" s="125"/>
      <c r="G293" s="125"/>
      <c r="H293" s="125"/>
      <c r="I293" s="125"/>
      <c r="J293" s="125"/>
      <c r="K293" s="125"/>
      <c r="L293" s="125"/>
      <c r="M293" s="125"/>
      <c r="N293" s="125"/>
      <c r="O293" s="133"/>
      <c r="P293" s="133"/>
      <c r="Q293" s="133"/>
      <c r="R293" s="116"/>
      <c r="S293" s="116"/>
    </row>
    <row r="294" spans="2:19" s="112" customFormat="1" ht="12" customHeight="1" x14ac:dyDescent="0.2">
      <c r="B294" s="133"/>
      <c r="C294" s="133"/>
      <c r="D294" s="133"/>
      <c r="E294" s="133"/>
      <c r="F294" s="125"/>
      <c r="G294" s="125"/>
      <c r="H294" s="125"/>
      <c r="I294" s="125"/>
      <c r="J294" s="125"/>
      <c r="K294" s="125"/>
      <c r="L294" s="125"/>
      <c r="M294" s="125"/>
      <c r="N294" s="125"/>
      <c r="O294" s="133"/>
      <c r="P294" s="133"/>
      <c r="Q294" s="133"/>
      <c r="R294" s="116"/>
      <c r="S294" s="116"/>
    </row>
    <row r="295" spans="2:19" s="112" customFormat="1" ht="12" customHeight="1" x14ac:dyDescent="0.2">
      <c r="B295" s="133"/>
      <c r="C295" s="133"/>
      <c r="D295" s="133"/>
      <c r="E295" s="133"/>
      <c r="F295" s="125"/>
      <c r="G295" s="125"/>
      <c r="H295" s="125"/>
      <c r="I295" s="125"/>
      <c r="J295" s="125"/>
      <c r="K295" s="125"/>
      <c r="L295" s="125"/>
      <c r="M295" s="125"/>
      <c r="N295" s="125"/>
      <c r="O295" s="133"/>
      <c r="P295" s="133"/>
      <c r="Q295" s="133"/>
      <c r="R295" s="116"/>
      <c r="S295" s="116"/>
    </row>
    <row r="296" spans="2:19" s="112" customFormat="1" ht="12" customHeight="1" x14ac:dyDescent="0.2">
      <c r="B296" s="133"/>
      <c r="C296" s="133"/>
      <c r="D296" s="133"/>
      <c r="E296" s="133"/>
      <c r="F296" s="125"/>
      <c r="G296" s="125"/>
      <c r="H296" s="125"/>
      <c r="I296" s="125"/>
      <c r="J296" s="125"/>
      <c r="K296" s="125"/>
      <c r="L296" s="125"/>
      <c r="M296" s="125"/>
      <c r="N296" s="125"/>
      <c r="O296" s="133"/>
      <c r="P296" s="133"/>
      <c r="Q296" s="133"/>
      <c r="R296" s="116"/>
      <c r="S296" s="116"/>
    </row>
    <row r="297" spans="2:19" s="112" customFormat="1" ht="12" customHeight="1" x14ac:dyDescent="0.2">
      <c r="B297" s="133"/>
      <c r="C297" s="133"/>
      <c r="D297" s="133"/>
      <c r="E297" s="133"/>
      <c r="F297" s="125"/>
      <c r="G297" s="125"/>
      <c r="H297" s="125"/>
      <c r="I297" s="125"/>
      <c r="J297" s="125"/>
      <c r="K297" s="125"/>
      <c r="L297" s="125"/>
      <c r="M297" s="125"/>
      <c r="N297" s="125"/>
      <c r="O297" s="133"/>
      <c r="P297" s="133"/>
      <c r="Q297" s="133"/>
      <c r="R297" s="116"/>
      <c r="S297" s="116"/>
    </row>
    <row r="298" spans="2:19" s="112" customFormat="1" ht="12" customHeight="1" x14ac:dyDescent="0.2">
      <c r="B298" s="133"/>
      <c r="C298" s="133"/>
      <c r="D298" s="133"/>
      <c r="E298" s="133"/>
      <c r="F298" s="125"/>
      <c r="G298" s="125"/>
      <c r="H298" s="125"/>
      <c r="I298" s="125"/>
      <c r="J298" s="125"/>
      <c r="K298" s="125"/>
      <c r="L298" s="125"/>
      <c r="M298" s="125"/>
      <c r="N298" s="125"/>
      <c r="O298" s="133"/>
      <c r="P298" s="133"/>
      <c r="Q298" s="133"/>
      <c r="R298" s="116"/>
      <c r="S298" s="116"/>
    </row>
    <row r="299" spans="2:19" s="112" customFormat="1" ht="12" customHeight="1" x14ac:dyDescent="0.2">
      <c r="B299" s="133"/>
      <c r="C299" s="133"/>
      <c r="D299" s="133"/>
      <c r="E299" s="133"/>
      <c r="F299" s="125"/>
      <c r="G299" s="125"/>
      <c r="H299" s="125"/>
      <c r="I299" s="125"/>
      <c r="J299" s="125"/>
      <c r="K299" s="125"/>
      <c r="L299" s="125"/>
      <c r="M299" s="125"/>
      <c r="N299" s="125"/>
      <c r="O299" s="133"/>
      <c r="P299" s="133"/>
      <c r="Q299" s="133"/>
      <c r="R299" s="116"/>
      <c r="S299" s="116"/>
    </row>
    <row r="300" spans="2:19" s="112" customFormat="1" ht="12" customHeight="1" x14ac:dyDescent="0.2">
      <c r="B300" s="133"/>
      <c r="C300" s="133"/>
      <c r="D300" s="133"/>
      <c r="E300" s="133"/>
      <c r="F300" s="125"/>
      <c r="G300" s="125"/>
      <c r="H300" s="125"/>
      <c r="I300" s="125"/>
      <c r="J300" s="125"/>
      <c r="K300" s="125"/>
      <c r="L300" s="125"/>
      <c r="M300" s="125"/>
      <c r="N300" s="125"/>
      <c r="O300" s="133"/>
      <c r="P300" s="133"/>
      <c r="Q300" s="133"/>
      <c r="R300" s="116"/>
      <c r="S300" s="116"/>
    </row>
    <row r="301" spans="2:19" s="112" customFormat="1" ht="12" customHeight="1" x14ac:dyDescent="0.2">
      <c r="B301" s="133"/>
      <c r="C301" s="133"/>
      <c r="D301" s="133"/>
      <c r="E301" s="133"/>
      <c r="F301" s="125"/>
      <c r="G301" s="125"/>
      <c r="H301" s="125"/>
      <c r="I301" s="125"/>
      <c r="J301" s="125"/>
      <c r="K301" s="125"/>
      <c r="L301" s="125"/>
      <c r="M301" s="125"/>
      <c r="N301" s="125"/>
      <c r="O301" s="133"/>
      <c r="P301" s="133"/>
      <c r="Q301" s="133"/>
      <c r="R301" s="116"/>
      <c r="S301" s="116"/>
    </row>
    <row r="302" spans="2:19" s="112" customFormat="1" ht="12" customHeight="1" x14ac:dyDescent="0.2">
      <c r="B302" s="133"/>
      <c r="C302" s="133"/>
      <c r="D302" s="133"/>
      <c r="E302" s="133"/>
      <c r="F302" s="125"/>
      <c r="G302" s="125"/>
      <c r="H302" s="125"/>
      <c r="I302" s="125"/>
      <c r="J302" s="125"/>
      <c r="K302" s="125"/>
      <c r="L302" s="125"/>
      <c r="M302" s="125"/>
      <c r="N302" s="125"/>
      <c r="O302" s="133"/>
      <c r="P302" s="133"/>
      <c r="Q302" s="133"/>
      <c r="R302" s="116"/>
      <c r="S302" s="116"/>
    </row>
    <row r="303" spans="2:19" s="112" customFormat="1" ht="12" customHeight="1" x14ac:dyDescent="0.2">
      <c r="B303" s="133"/>
      <c r="C303" s="133"/>
      <c r="D303" s="133"/>
      <c r="E303" s="133"/>
      <c r="F303" s="125"/>
      <c r="G303" s="125"/>
      <c r="H303" s="125"/>
      <c r="I303" s="125"/>
      <c r="J303" s="125"/>
      <c r="K303" s="125"/>
      <c r="L303" s="125"/>
      <c r="M303" s="125"/>
      <c r="N303" s="125"/>
      <c r="O303" s="133"/>
      <c r="P303" s="133"/>
      <c r="Q303" s="133"/>
      <c r="R303" s="116"/>
      <c r="S303" s="116"/>
    </row>
    <row r="304" spans="2:19" s="112" customFormat="1" ht="12" customHeight="1" x14ac:dyDescent="0.2">
      <c r="B304" s="133"/>
      <c r="C304" s="133"/>
      <c r="D304" s="133"/>
      <c r="E304" s="133"/>
      <c r="F304" s="125"/>
      <c r="G304" s="125"/>
      <c r="H304" s="125"/>
      <c r="I304" s="125"/>
      <c r="J304" s="125"/>
      <c r="K304" s="125"/>
      <c r="L304" s="125"/>
      <c r="M304" s="125"/>
      <c r="N304" s="125"/>
      <c r="O304" s="133"/>
      <c r="P304" s="133"/>
      <c r="Q304" s="133"/>
      <c r="R304" s="116"/>
      <c r="S304" s="116"/>
    </row>
    <row r="305" spans="2:19" s="112" customFormat="1" ht="12" customHeight="1" x14ac:dyDescent="0.2">
      <c r="B305" s="133"/>
      <c r="C305" s="133"/>
      <c r="D305" s="133"/>
      <c r="E305" s="133"/>
      <c r="F305" s="125"/>
      <c r="G305" s="125"/>
      <c r="H305" s="125"/>
      <c r="I305" s="125"/>
      <c r="J305" s="125"/>
      <c r="K305" s="125"/>
      <c r="L305" s="125"/>
      <c r="M305" s="125"/>
      <c r="N305" s="125"/>
      <c r="O305" s="133"/>
      <c r="P305" s="133"/>
      <c r="Q305" s="133"/>
      <c r="R305" s="116"/>
      <c r="S305" s="116"/>
    </row>
    <row r="306" spans="2:19" s="112" customFormat="1" ht="12" customHeight="1" x14ac:dyDescent="0.2">
      <c r="B306" s="133"/>
      <c r="C306" s="133"/>
      <c r="D306" s="133"/>
      <c r="E306" s="133"/>
      <c r="F306" s="125"/>
      <c r="G306" s="125"/>
      <c r="H306" s="125"/>
      <c r="I306" s="125"/>
      <c r="J306" s="125"/>
      <c r="K306" s="125"/>
      <c r="L306" s="125"/>
      <c r="M306" s="125"/>
      <c r="N306" s="125"/>
      <c r="O306" s="133"/>
      <c r="P306" s="133"/>
      <c r="Q306" s="133"/>
      <c r="R306" s="116"/>
      <c r="S306" s="116"/>
    </row>
    <row r="307" spans="2:19" s="112" customFormat="1" ht="12" customHeight="1" x14ac:dyDescent="0.2">
      <c r="B307" s="133"/>
      <c r="C307" s="133"/>
      <c r="D307" s="133"/>
      <c r="E307" s="133"/>
      <c r="F307" s="125"/>
      <c r="G307" s="125"/>
      <c r="H307" s="125"/>
      <c r="I307" s="125"/>
      <c r="J307" s="125"/>
      <c r="K307" s="125"/>
      <c r="L307" s="125"/>
      <c r="M307" s="125"/>
      <c r="N307" s="125"/>
      <c r="O307" s="133"/>
      <c r="P307" s="133"/>
      <c r="Q307" s="133"/>
      <c r="R307" s="116"/>
      <c r="S307" s="116"/>
    </row>
    <row r="308" spans="2:19" s="112" customFormat="1" ht="12" customHeight="1" x14ac:dyDescent="0.2">
      <c r="B308" s="133"/>
      <c r="C308" s="133"/>
      <c r="D308" s="133"/>
      <c r="E308" s="133"/>
      <c r="F308" s="125"/>
      <c r="G308" s="125"/>
      <c r="H308" s="125"/>
      <c r="I308" s="125"/>
      <c r="J308" s="125"/>
      <c r="K308" s="125"/>
      <c r="L308" s="125"/>
      <c r="M308" s="125"/>
      <c r="N308" s="125"/>
      <c r="O308" s="133"/>
      <c r="P308" s="133"/>
      <c r="Q308" s="133"/>
      <c r="R308" s="116"/>
      <c r="S308" s="116"/>
    </row>
    <row r="309" spans="2:19" s="112" customFormat="1" ht="12" customHeight="1" x14ac:dyDescent="0.2">
      <c r="B309" s="133"/>
      <c r="C309" s="133"/>
      <c r="D309" s="133"/>
      <c r="E309" s="133"/>
      <c r="F309" s="125"/>
      <c r="G309" s="125"/>
      <c r="H309" s="125"/>
      <c r="I309" s="125"/>
      <c r="J309" s="125"/>
      <c r="K309" s="125"/>
      <c r="L309" s="125"/>
      <c r="M309" s="125"/>
      <c r="N309" s="125"/>
      <c r="O309" s="133"/>
      <c r="P309" s="133"/>
      <c r="Q309" s="133"/>
      <c r="R309" s="116"/>
      <c r="S309" s="116"/>
    </row>
    <row r="310" spans="2:19" s="112" customFormat="1" ht="12" customHeight="1" x14ac:dyDescent="0.2">
      <c r="B310" s="133"/>
      <c r="C310" s="133"/>
      <c r="D310" s="133"/>
      <c r="E310" s="133"/>
      <c r="F310" s="125"/>
      <c r="G310" s="125"/>
      <c r="H310" s="125"/>
      <c r="I310" s="125"/>
      <c r="J310" s="125"/>
      <c r="K310" s="125"/>
      <c r="L310" s="125"/>
      <c r="M310" s="125"/>
      <c r="N310" s="125"/>
      <c r="O310" s="133"/>
      <c r="P310" s="133"/>
      <c r="Q310" s="133"/>
      <c r="R310" s="116"/>
      <c r="S310" s="116"/>
    </row>
    <row r="311" spans="2:19" s="112" customFormat="1" ht="12" customHeight="1" x14ac:dyDescent="0.2">
      <c r="B311" s="133"/>
      <c r="C311" s="133"/>
      <c r="D311" s="133"/>
      <c r="E311" s="133"/>
      <c r="F311" s="125"/>
      <c r="G311" s="125"/>
      <c r="H311" s="125"/>
      <c r="I311" s="125"/>
      <c r="J311" s="125"/>
      <c r="K311" s="125"/>
      <c r="L311" s="125"/>
      <c r="M311" s="125"/>
      <c r="N311" s="125"/>
      <c r="O311" s="133"/>
      <c r="P311" s="133"/>
      <c r="Q311" s="133"/>
      <c r="R311" s="116"/>
      <c r="S311" s="116"/>
    </row>
    <row r="312" spans="2:19" s="112" customFormat="1" ht="12" customHeight="1" x14ac:dyDescent="0.2">
      <c r="B312" s="133"/>
      <c r="C312" s="133"/>
      <c r="D312" s="133"/>
      <c r="E312" s="133"/>
      <c r="F312" s="125"/>
      <c r="G312" s="125"/>
      <c r="H312" s="125"/>
      <c r="I312" s="125"/>
      <c r="J312" s="125"/>
      <c r="K312" s="125"/>
      <c r="L312" s="125"/>
      <c r="M312" s="125"/>
      <c r="N312" s="125"/>
      <c r="O312" s="133"/>
      <c r="P312" s="133"/>
      <c r="Q312" s="133"/>
      <c r="R312" s="116"/>
      <c r="S312" s="116"/>
    </row>
    <row r="313" spans="2:19" s="112" customFormat="1" ht="12" customHeight="1" x14ac:dyDescent="0.2">
      <c r="B313" s="133"/>
      <c r="C313" s="133"/>
      <c r="D313" s="133"/>
      <c r="E313" s="133"/>
      <c r="F313" s="125"/>
      <c r="G313" s="125"/>
      <c r="H313" s="125"/>
      <c r="I313" s="125"/>
      <c r="J313" s="125"/>
      <c r="K313" s="125"/>
      <c r="L313" s="125"/>
      <c r="M313" s="125"/>
      <c r="N313" s="125"/>
      <c r="O313" s="133"/>
      <c r="P313" s="133"/>
      <c r="Q313" s="133"/>
      <c r="R313" s="116"/>
      <c r="S313" s="116"/>
    </row>
    <row r="314" spans="2:19" s="112" customFormat="1" ht="12" customHeight="1" x14ac:dyDescent="0.2">
      <c r="B314" s="133"/>
      <c r="C314" s="133"/>
      <c r="D314" s="133"/>
      <c r="E314" s="133"/>
      <c r="F314" s="125"/>
      <c r="G314" s="125"/>
      <c r="H314" s="125"/>
      <c r="I314" s="125"/>
      <c r="J314" s="125"/>
      <c r="K314" s="125"/>
      <c r="L314" s="125"/>
      <c r="M314" s="125"/>
      <c r="N314" s="125"/>
      <c r="O314" s="133"/>
      <c r="P314" s="133"/>
      <c r="Q314" s="133"/>
      <c r="R314" s="116"/>
      <c r="S314" s="116"/>
    </row>
    <row r="315" spans="2:19" s="112" customFormat="1" ht="12" customHeight="1" x14ac:dyDescent="0.2">
      <c r="B315" s="133"/>
      <c r="C315" s="133"/>
      <c r="D315" s="133"/>
      <c r="E315" s="133"/>
      <c r="F315" s="125"/>
      <c r="G315" s="125"/>
      <c r="H315" s="125"/>
      <c r="I315" s="125"/>
      <c r="J315" s="125"/>
      <c r="K315" s="125"/>
      <c r="L315" s="125"/>
      <c r="M315" s="125"/>
      <c r="N315" s="125"/>
      <c r="O315" s="133"/>
      <c r="P315" s="133"/>
      <c r="Q315" s="133"/>
      <c r="R315" s="116"/>
      <c r="S315" s="116"/>
    </row>
    <row r="316" spans="2:19" s="112" customFormat="1" ht="12" customHeight="1" x14ac:dyDescent="0.2">
      <c r="B316" s="133"/>
      <c r="C316" s="133"/>
      <c r="D316" s="133"/>
      <c r="E316" s="133"/>
      <c r="F316" s="125"/>
      <c r="G316" s="125"/>
      <c r="H316" s="125"/>
      <c r="I316" s="125"/>
      <c r="J316" s="125"/>
      <c r="K316" s="125"/>
      <c r="L316" s="125"/>
      <c r="M316" s="125"/>
      <c r="N316" s="125"/>
      <c r="O316" s="133"/>
      <c r="P316" s="133"/>
      <c r="Q316" s="133"/>
      <c r="R316" s="116"/>
      <c r="S316" s="116"/>
    </row>
    <row r="317" spans="2:19" s="112" customFormat="1" ht="12" customHeight="1" x14ac:dyDescent="0.2">
      <c r="B317" s="133"/>
      <c r="C317" s="133"/>
      <c r="D317" s="133"/>
      <c r="E317" s="133"/>
      <c r="F317" s="125"/>
      <c r="G317" s="125"/>
      <c r="H317" s="125"/>
      <c r="I317" s="125"/>
      <c r="J317" s="125"/>
      <c r="K317" s="125"/>
      <c r="L317" s="125"/>
      <c r="M317" s="125"/>
      <c r="N317" s="125"/>
      <c r="O317" s="133"/>
      <c r="P317" s="133"/>
      <c r="Q317" s="133"/>
      <c r="R317" s="116"/>
      <c r="S317" s="116"/>
    </row>
    <row r="318" spans="2:19" s="112" customFormat="1" ht="12" customHeight="1" x14ac:dyDescent="0.2">
      <c r="B318" s="133"/>
      <c r="C318" s="133"/>
      <c r="D318" s="133"/>
      <c r="E318" s="133"/>
      <c r="F318" s="125"/>
      <c r="G318" s="125"/>
      <c r="H318" s="125"/>
      <c r="I318" s="125"/>
      <c r="J318" s="125"/>
      <c r="K318" s="125"/>
      <c r="L318" s="125"/>
      <c r="M318" s="125"/>
      <c r="N318" s="125"/>
      <c r="O318" s="133"/>
      <c r="P318" s="133"/>
      <c r="Q318" s="133"/>
      <c r="R318" s="116"/>
      <c r="S318" s="116"/>
    </row>
    <row r="319" spans="2:19" s="112" customFormat="1" ht="12" customHeight="1" x14ac:dyDescent="0.2">
      <c r="B319" s="133"/>
      <c r="C319" s="133"/>
      <c r="D319" s="133"/>
      <c r="E319" s="133"/>
      <c r="F319" s="125"/>
      <c r="G319" s="125"/>
      <c r="H319" s="125"/>
      <c r="I319" s="125"/>
      <c r="J319" s="125"/>
      <c r="K319" s="125"/>
      <c r="L319" s="125"/>
      <c r="M319" s="125"/>
      <c r="N319" s="125"/>
      <c r="O319" s="133"/>
      <c r="P319" s="133"/>
      <c r="Q319" s="133"/>
      <c r="R319" s="116"/>
      <c r="S319" s="116"/>
    </row>
    <row r="320" spans="2:19" s="112" customFormat="1" ht="12" customHeight="1" x14ac:dyDescent="0.2">
      <c r="B320" s="133"/>
      <c r="C320" s="133"/>
      <c r="D320" s="133"/>
      <c r="E320" s="133"/>
      <c r="F320" s="125"/>
      <c r="G320" s="125"/>
      <c r="H320" s="125"/>
      <c r="I320" s="125"/>
      <c r="J320" s="125"/>
      <c r="K320" s="125"/>
      <c r="L320" s="125"/>
      <c r="M320" s="125"/>
      <c r="N320" s="125"/>
      <c r="O320" s="133"/>
      <c r="P320" s="133"/>
      <c r="Q320" s="133"/>
      <c r="R320" s="116"/>
      <c r="S320" s="116"/>
    </row>
    <row r="321" spans="2:19" s="112" customFormat="1" ht="12" customHeight="1" x14ac:dyDescent="0.2">
      <c r="B321" s="133"/>
      <c r="C321" s="133"/>
      <c r="D321" s="133"/>
      <c r="E321" s="133"/>
      <c r="F321" s="125"/>
      <c r="G321" s="125"/>
      <c r="H321" s="125"/>
      <c r="I321" s="125"/>
      <c r="J321" s="125"/>
      <c r="K321" s="125"/>
      <c r="L321" s="125"/>
      <c r="M321" s="125"/>
      <c r="N321" s="125"/>
      <c r="O321" s="133"/>
      <c r="P321" s="133"/>
      <c r="Q321" s="133"/>
      <c r="R321" s="116"/>
      <c r="S321" s="116"/>
    </row>
    <row r="322" spans="2:19" s="112" customFormat="1" ht="12" customHeight="1" x14ac:dyDescent="0.2">
      <c r="B322" s="133"/>
      <c r="C322" s="133"/>
      <c r="D322" s="133"/>
      <c r="E322" s="133"/>
      <c r="F322" s="125"/>
      <c r="G322" s="125"/>
      <c r="H322" s="125"/>
      <c r="I322" s="125"/>
      <c r="J322" s="125"/>
      <c r="K322" s="125"/>
      <c r="L322" s="125"/>
      <c r="M322" s="125"/>
      <c r="N322" s="125"/>
      <c r="O322" s="133"/>
      <c r="P322" s="133"/>
      <c r="Q322" s="133"/>
      <c r="R322" s="116"/>
      <c r="S322" s="116"/>
    </row>
    <row r="323" spans="2:19" s="112" customFormat="1" ht="12" customHeight="1" x14ac:dyDescent="0.2">
      <c r="B323" s="133"/>
      <c r="C323" s="133"/>
      <c r="D323" s="133"/>
      <c r="E323" s="133"/>
      <c r="F323" s="125"/>
      <c r="G323" s="125"/>
      <c r="H323" s="125"/>
      <c r="I323" s="125"/>
      <c r="J323" s="125"/>
      <c r="K323" s="125"/>
      <c r="L323" s="125"/>
      <c r="M323" s="125"/>
      <c r="N323" s="125"/>
      <c r="O323" s="133"/>
      <c r="P323" s="133"/>
      <c r="Q323" s="133"/>
      <c r="R323" s="116"/>
      <c r="S323" s="116"/>
    </row>
    <row r="324" spans="2:19" s="112" customFormat="1" ht="12" customHeight="1" x14ac:dyDescent="0.2">
      <c r="B324" s="133"/>
      <c r="C324" s="133"/>
      <c r="D324" s="133"/>
      <c r="E324" s="133"/>
      <c r="F324" s="125"/>
      <c r="G324" s="125"/>
      <c r="H324" s="125"/>
      <c r="I324" s="125"/>
      <c r="J324" s="125"/>
      <c r="K324" s="125"/>
      <c r="L324" s="125"/>
      <c r="M324" s="125"/>
      <c r="N324" s="125"/>
      <c r="O324" s="133"/>
      <c r="P324" s="133"/>
      <c r="Q324" s="133"/>
      <c r="R324" s="116"/>
      <c r="S324" s="116"/>
    </row>
    <row r="325" spans="2:19" s="112" customFormat="1" ht="12" customHeight="1" x14ac:dyDescent="0.2">
      <c r="B325" s="133"/>
      <c r="C325" s="133"/>
      <c r="D325" s="133"/>
      <c r="E325" s="133"/>
      <c r="F325" s="125"/>
      <c r="G325" s="125"/>
      <c r="H325" s="125"/>
      <c r="I325" s="125"/>
      <c r="J325" s="125"/>
      <c r="K325" s="125"/>
      <c r="L325" s="125"/>
      <c r="M325" s="125"/>
      <c r="N325" s="125"/>
      <c r="O325" s="133"/>
      <c r="P325" s="133"/>
      <c r="Q325" s="133"/>
      <c r="R325" s="116"/>
      <c r="S325" s="116"/>
    </row>
    <row r="326" spans="2:19" s="112" customFormat="1" ht="12" customHeight="1" x14ac:dyDescent="0.2">
      <c r="B326" s="133"/>
      <c r="C326" s="133"/>
      <c r="D326" s="133"/>
      <c r="E326" s="133"/>
      <c r="F326" s="125"/>
      <c r="G326" s="125"/>
      <c r="H326" s="125"/>
      <c r="I326" s="125"/>
      <c r="J326" s="125"/>
      <c r="K326" s="125"/>
      <c r="L326" s="125"/>
      <c r="M326" s="125"/>
      <c r="N326" s="125"/>
      <c r="O326" s="133"/>
      <c r="P326" s="133"/>
      <c r="Q326" s="133"/>
      <c r="R326" s="116"/>
      <c r="S326" s="116"/>
    </row>
    <row r="327" spans="2:19" s="112" customFormat="1" ht="12" customHeight="1" x14ac:dyDescent="0.2">
      <c r="B327" s="133"/>
      <c r="C327" s="133"/>
      <c r="D327" s="133"/>
      <c r="E327" s="133"/>
      <c r="F327" s="125"/>
      <c r="G327" s="125"/>
      <c r="H327" s="125"/>
      <c r="I327" s="125"/>
      <c r="J327" s="125"/>
      <c r="K327" s="125"/>
      <c r="L327" s="125"/>
      <c r="M327" s="125"/>
      <c r="N327" s="125"/>
      <c r="O327" s="133"/>
      <c r="P327" s="133"/>
      <c r="Q327" s="133"/>
      <c r="R327" s="116"/>
      <c r="S327" s="116"/>
    </row>
    <row r="328" spans="2:19" s="112" customFormat="1" ht="12" customHeight="1" x14ac:dyDescent="0.2">
      <c r="B328" s="133"/>
      <c r="C328" s="133"/>
      <c r="D328" s="133"/>
      <c r="E328" s="133"/>
      <c r="F328" s="125"/>
      <c r="G328" s="125"/>
      <c r="H328" s="125"/>
      <c r="I328" s="125"/>
      <c r="J328" s="125"/>
      <c r="K328" s="125"/>
      <c r="L328" s="125"/>
      <c r="M328" s="125"/>
      <c r="N328" s="125"/>
      <c r="O328" s="133"/>
      <c r="P328" s="133"/>
      <c r="Q328" s="133"/>
      <c r="R328" s="116"/>
      <c r="S328" s="116"/>
    </row>
    <row r="329" spans="2:19" s="112" customFormat="1" ht="12" customHeight="1" x14ac:dyDescent="0.2">
      <c r="B329" s="133"/>
      <c r="C329" s="133"/>
      <c r="D329" s="133"/>
      <c r="E329" s="133"/>
      <c r="F329" s="125"/>
      <c r="G329" s="125"/>
      <c r="H329" s="125"/>
      <c r="I329" s="125"/>
      <c r="J329" s="125"/>
      <c r="K329" s="125"/>
      <c r="L329" s="125"/>
      <c r="M329" s="125"/>
      <c r="N329" s="125"/>
      <c r="O329" s="133"/>
      <c r="P329" s="133"/>
      <c r="Q329" s="133"/>
      <c r="R329" s="116"/>
      <c r="S329" s="116"/>
    </row>
    <row r="330" spans="2:19" s="112" customFormat="1" ht="12" customHeight="1" x14ac:dyDescent="0.2">
      <c r="B330" s="133"/>
      <c r="C330" s="133"/>
      <c r="D330" s="133"/>
      <c r="E330" s="133"/>
      <c r="F330" s="125"/>
      <c r="G330" s="125"/>
      <c r="H330" s="125"/>
      <c r="I330" s="125"/>
      <c r="J330" s="125"/>
      <c r="K330" s="125"/>
      <c r="L330" s="125"/>
      <c r="M330" s="125"/>
      <c r="N330" s="125"/>
      <c r="O330" s="133"/>
      <c r="P330" s="133"/>
      <c r="Q330" s="133"/>
      <c r="R330" s="116"/>
      <c r="S330" s="116"/>
    </row>
    <row r="331" spans="2:19" s="112" customFormat="1" ht="12" customHeight="1" x14ac:dyDescent="0.2">
      <c r="B331" s="133"/>
      <c r="C331" s="133"/>
      <c r="D331" s="133"/>
      <c r="E331" s="133"/>
      <c r="F331" s="125"/>
      <c r="G331" s="125"/>
      <c r="H331" s="125"/>
      <c r="I331" s="125"/>
      <c r="J331" s="125"/>
      <c r="K331" s="125"/>
      <c r="L331" s="125"/>
      <c r="M331" s="125"/>
      <c r="N331" s="125"/>
      <c r="O331" s="133"/>
      <c r="P331" s="133"/>
      <c r="Q331" s="133"/>
      <c r="R331" s="116"/>
      <c r="S331" s="116"/>
    </row>
    <row r="332" spans="2:19" s="112" customFormat="1" ht="12" customHeight="1" x14ac:dyDescent="0.2">
      <c r="B332" s="133"/>
      <c r="C332" s="133"/>
      <c r="D332" s="133"/>
      <c r="E332" s="133"/>
      <c r="F332" s="125"/>
      <c r="G332" s="125"/>
      <c r="H332" s="125"/>
      <c r="I332" s="125"/>
      <c r="J332" s="125"/>
      <c r="K332" s="125"/>
      <c r="L332" s="125"/>
      <c r="M332" s="125"/>
      <c r="N332" s="125"/>
      <c r="O332" s="133"/>
      <c r="P332" s="133"/>
      <c r="Q332" s="133"/>
      <c r="R332" s="116"/>
      <c r="S332" s="116"/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6726-CD4F-4667-AC33-54D0542E432E}">
  <sheetPr codeName="Sheet5">
    <tabColor rgb="FFFFFF00"/>
    <pageSetUpPr fitToPage="1"/>
  </sheetPr>
  <dimension ref="A1:T181"/>
  <sheetViews>
    <sheetView topLeftCell="A28" zoomScale="85" zoomScaleNormal="85" zoomScaleSheetLayoutView="70" workbookViewId="0">
      <selection activeCell="P13" sqref="P13"/>
    </sheetView>
  </sheetViews>
  <sheetFormatPr defaultRowHeight="12.75" x14ac:dyDescent="0.2"/>
  <cols>
    <col min="1" max="1" width="11.5703125" style="249" bestFit="1" customWidth="1"/>
    <col min="2" max="2" width="54.28515625" style="249" bestFit="1" customWidth="1"/>
    <col min="3" max="3" width="22" style="249" bestFit="1" customWidth="1"/>
    <col min="4" max="4" width="8.140625" style="249" customWidth="1"/>
    <col min="5" max="5" width="23.28515625" style="249" customWidth="1"/>
    <col min="6" max="7" width="9.42578125" style="267" customWidth="1"/>
    <col min="8" max="9" width="8.85546875" style="250" bestFit="1" customWidth="1"/>
    <col min="10" max="10" width="8.140625" style="249" customWidth="1"/>
    <col min="11" max="12" width="9" style="249" customWidth="1"/>
    <col min="13" max="13" width="6" style="249" customWidth="1"/>
    <col min="14" max="15" width="8.85546875" style="249" customWidth="1"/>
    <col min="16" max="18" width="9.5703125" style="251" customWidth="1"/>
    <col min="19" max="16384" width="9.140625" style="249"/>
  </cols>
  <sheetData>
    <row r="1" spans="1:18" s="225" customFormat="1" x14ac:dyDescent="0.2">
      <c r="A1" s="225" t="s">
        <v>3</v>
      </c>
      <c r="B1" s="225" t="s">
        <v>4</v>
      </c>
      <c r="C1" s="162"/>
      <c r="E1" s="162"/>
      <c r="F1" s="164"/>
      <c r="G1" s="164"/>
      <c r="H1" s="226"/>
      <c r="I1" s="226"/>
      <c r="J1" s="167"/>
      <c r="K1" s="167"/>
      <c r="L1" s="167"/>
      <c r="M1" s="167"/>
      <c r="N1" s="167"/>
      <c r="O1" s="167"/>
      <c r="P1" s="165"/>
      <c r="Q1" s="165"/>
      <c r="R1" s="165"/>
    </row>
    <row r="2" spans="1:18" s="162" customFormat="1" x14ac:dyDescent="0.2">
      <c r="A2" s="225" t="s">
        <v>0</v>
      </c>
      <c r="B2" s="227" t="s">
        <v>1</v>
      </c>
      <c r="C2" s="227" t="s">
        <v>2</v>
      </c>
      <c r="F2" s="164"/>
      <c r="G2" s="164"/>
      <c r="H2" s="226"/>
      <c r="I2" s="226"/>
      <c r="J2" s="167"/>
      <c r="K2" s="167"/>
      <c r="L2" s="167"/>
      <c r="M2" s="167"/>
      <c r="N2" s="167"/>
      <c r="O2" s="167"/>
      <c r="P2" s="165"/>
      <c r="Q2" s="165"/>
      <c r="R2" s="165"/>
    </row>
    <row r="3" spans="1:18" s="162" customFormat="1" x14ac:dyDescent="0.2">
      <c r="A3" s="225"/>
      <c r="F3" s="164"/>
      <c r="G3" s="164"/>
      <c r="H3" s="226"/>
      <c r="I3" s="226"/>
      <c r="J3" s="167"/>
      <c r="K3" s="167"/>
      <c r="L3" s="167"/>
      <c r="M3" s="167"/>
      <c r="N3" s="167"/>
      <c r="O3" s="167"/>
      <c r="P3" s="165"/>
      <c r="Q3" s="165"/>
      <c r="R3" s="165"/>
    </row>
    <row r="4" spans="1:18" s="162" customFormat="1" x14ac:dyDescent="0.2">
      <c r="A4" s="225" t="s">
        <v>5</v>
      </c>
      <c r="F4" s="164"/>
      <c r="G4" s="164"/>
      <c r="H4" s="226"/>
      <c r="I4" s="226"/>
      <c r="J4" s="167"/>
      <c r="K4" s="167"/>
      <c r="L4" s="167"/>
      <c r="M4" s="167"/>
      <c r="N4" s="167"/>
      <c r="O4" s="167"/>
      <c r="P4" s="165"/>
      <c r="Q4" s="165"/>
      <c r="R4" s="165"/>
    </row>
    <row r="5" spans="1:18" s="162" customFormat="1" ht="12" customHeight="1" x14ac:dyDescent="0.25">
      <c r="A5" s="225"/>
      <c r="B5" s="162" t="s">
        <v>8</v>
      </c>
      <c r="C5" s="162" t="s">
        <v>9</v>
      </c>
      <c r="E5" s="228"/>
      <c r="F5" s="228"/>
      <c r="G5" s="228"/>
      <c r="H5" s="229"/>
      <c r="I5" s="226"/>
      <c r="J5" s="167"/>
      <c r="K5" s="167"/>
      <c r="L5" s="167"/>
      <c r="M5" s="167"/>
      <c r="N5" s="167"/>
      <c r="O5" s="167"/>
      <c r="P5" s="165"/>
      <c r="Q5" s="165"/>
      <c r="R5" s="165"/>
    </row>
    <row r="6" spans="1:18" s="162" customFormat="1" ht="12" customHeight="1" x14ac:dyDescent="0.25">
      <c r="A6" s="225"/>
      <c r="B6" s="162" t="s">
        <v>17</v>
      </c>
      <c r="C6" s="166">
        <v>2</v>
      </c>
      <c r="E6" s="228"/>
      <c r="F6" s="228"/>
      <c r="G6" s="228"/>
      <c r="H6" s="229"/>
      <c r="I6" s="226"/>
      <c r="J6" s="167"/>
      <c r="K6" s="167"/>
      <c r="L6" s="167"/>
      <c r="M6" s="167"/>
      <c r="N6" s="167"/>
      <c r="O6" s="167"/>
      <c r="P6" s="165"/>
      <c r="Q6" s="165"/>
      <c r="R6" s="165"/>
    </row>
    <row r="7" spans="1:18" s="162" customFormat="1" ht="12" customHeight="1" x14ac:dyDescent="0.25">
      <c r="A7" s="225"/>
      <c r="B7" s="162" t="s">
        <v>166</v>
      </c>
      <c r="C7" s="166" t="s">
        <v>5</v>
      </c>
      <c r="E7" s="228"/>
      <c r="F7" s="228"/>
      <c r="G7" s="228"/>
      <c r="H7" s="229"/>
      <c r="I7" s="226"/>
      <c r="J7" s="167"/>
      <c r="K7" s="167"/>
      <c r="L7" s="167"/>
      <c r="M7" s="167"/>
      <c r="N7" s="167"/>
      <c r="O7" s="167"/>
      <c r="P7" s="165"/>
      <c r="Q7" s="165"/>
      <c r="R7" s="165"/>
    </row>
    <row r="8" spans="1:18" s="162" customFormat="1" ht="12" customHeight="1" x14ac:dyDescent="0.25">
      <c r="A8" s="225"/>
      <c r="B8" s="162" t="s">
        <v>135</v>
      </c>
      <c r="C8" s="166" t="s">
        <v>14</v>
      </c>
      <c r="E8" s="228"/>
      <c r="F8" s="228"/>
      <c r="G8" s="228"/>
      <c r="H8" s="229"/>
      <c r="I8" s="226"/>
      <c r="J8" s="167"/>
      <c r="K8" s="167"/>
      <c r="L8" s="167"/>
      <c r="M8" s="167"/>
      <c r="N8" s="167"/>
      <c r="O8" s="167"/>
      <c r="P8" s="165"/>
      <c r="Q8" s="165"/>
      <c r="R8" s="165"/>
    </row>
    <row r="9" spans="1:18" s="162" customFormat="1" ht="12" customHeight="1" x14ac:dyDescent="0.25">
      <c r="A9" s="225"/>
      <c r="B9" s="162" t="s">
        <v>133</v>
      </c>
      <c r="C9" s="166" t="s">
        <v>68</v>
      </c>
      <c r="E9" s="228"/>
      <c r="F9" s="228"/>
      <c r="G9" s="228"/>
      <c r="H9" s="229"/>
      <c r="I9" s="226"/>
      <c r="J9" s="167"/>
      <c r="K9" s="167"/>
      <c r="L9" s="167"/>
      <c r="M9" s="167"/>
      <c r="N9" s="167"/>
      <c r="O9" s="167"/>
      <c r="P9" s="165"/>
      <c r="Q9" s="165"/>
      <c r="R9" s="165"/>
    </row>
    <row r="10" spans="1:18" s="162" customFormat="1" ht="12" customHeight="1" x14ac:dyDescent="0.25">
      <c r="A10" s="225"/>
      <c r="B10" s="162" t="s">
        <v>136</v>
      </c>
      <c r="C10" s="163">
        <v>1.1000000000000001</v>
      </c>
      <c r="E10" s="228"/>
      <c r="F10" s="228"/>
      <c r="G10" s="228"/>
      <c r="H10" s="229"/>
      <c r="I10" s="226"/>
      <c r="J10" s="167"/>
      <c r="K10" s="167"/>
      <c r="L10" s="167"/>
      <c r="M10" s="167"/>
      <c r="N10" s="167"/>
      <c r="O10" s="167"/>
      <c r="P10" s="165"/>
      <c r="Q10" s="165"/>
      <c r="R10" s="165"/>
    </row>
    <row r="11" spans="1:18" s="162" customFormat="1" ht="12" customHeight="1" x14ac:dyDescent="0.25">
      <c r="A11" s="225"/>
      <c r="B11" s="162" t="s">
        <v>137</v>
      </c>
      <c r="C11" s="230">
        <v>0</v>
      </c>
      <c r="E11" s="228"/>
      <c r="F11" s="228"/>
      <c r="G11" s="228"/>
      <c r="H11" s="229"/>
      <c r="I11" s="226"/>
      <c r="J11" s="167"/>
      <c r="K11" s="167"/>
      <c r="L11" s="167"/>
      <c r="M11" s="167"/>
      <c r="N11" s="167"/>
      <c r="O11" s="167"/>
      <c r="P11" s="165"/>
      <c r="Q11" s="165"/>
      <c r="R11" s="165"/>
    </row>
    <row r="12" spans="1:18" s="162" customFormat="1" ht="12" customHeight="1" x14ac:dyDescent="0.25">
      <c r="A12" s="225"/>
      <c r="C12" s="163"/>
      <c r="E12" s="228"/>
      <c r="F12" s="228"/>
      <c r="G12" s="228"/>
      <c r="H12" s="231"/>
      <c r="I12" s="231"/>
      <c r="J12" s="228"/>
      <c r="K12" s="167"/>
      <c r="L12" s="167"/>
      <c r="M12" s="167"/>
      <c r="N12" s="167"/>
      <c r="O12" s="167"/>
      <c r="P12" s="165"/>
      <c r="Q12" s="165"/>
      <c r="R12" s="165"/>
    </row>
    <row r="13" spans="1:18" s="133" customFormat="1" ht="12" customHeight="1" x14ac:dyDescent="0.25">
      <c r="A13" s="112"/>
      <c r="B13" s="133" t="s">
        <v>167</v>
      </c>
      <c r="C13" s="153">
        <v>100</v>
      </c>
      <c r="E13" s="228"/>
      <c r="F13" s="228"/>
      <c r="G13" s="228"/>
      <c r="H13" s="231"/>
      <c r="I13" s="231"/>
      <c r="J13" s="228"/>
      <c r="K13" s="125"/>
      <c r="L13" s="125"/>
      <c r="M13" s="125"/>
      <c r="N13" s="125"/>
      <c r="P13" s="116"/>
      <c r="Q13" s="116"/>
    </row>
    <row r="14" spans="1:18" s="162" customFormat="1" ht="12" customHeight="1" x14ac:dyDescent="0.25">
      <c r="A14" s="225"/>
      <c r="B14" s="162" t="s">
        <v>139</v>
      </c>
      <c r="C14" s="166">
        <v>0</v>
      </c>
      <c r="E14" s="228"/>
      <c r="F14" s="228"/>
      <c r="G14" s="228"/>
      <c r="H14" s="231"/>
      <c r="I14" s="231"/>
      <c r="J14" s="228"/>
      <c r="K14" s="167"/>
      <c r="L14" s="167"/>
      <c r="M14" s="167"/>
      <c r="N14" s="167"/>
      <c r="O14" s="167"/>
      <c r="P14" s="165"/>
      <c r="Q14" s="165"/>
      <c r="R14" s="165"/>
    </row>
    <row r="15" spans="1:18" s="167" customFormat="1" ht="12" customHeight="1" x14ac:dyDescent="0.25">
      <c r="A15" s="232"/>
      <c r="B15" s="167" t="s">
        <v>138</v>
      </c>
      <c r="C15" s="233">
        <v>0</v>
      </c>
      <c r="E15" s="228"/>
      <c r="F15" s="228"/>
      <c r="G15" s="228"/>
      <c r="H15" s="231"/>
      <c r="I15" s="231"/>
      <c r="J15" s="228"/>
      <c r="K15" s="164"/>
      <c r="L15" s="164"/>
      <c r="M15" s="164"/>
      <c r="N15" s="164"/>
      <c r="O15" s="164"/>
      <c r="P15" s="234"/>
      <c r="Q15" s="234"/>
      <c r="R15" s="234"/>
    </row>
    <row r="16" spans="1:18" s="162" customFormat="1" ht="12" customHeight="1" x14ac:dyDescent="0.25">
      <c r="A16" s="225"/>
      <c r="B16" s="162" t="s">
        <v>149</v>
      </c>
      <c r="C16" s="166">
        <v>0</v>
      </c>
      <c r="E16" s="228"/>
      <c r="F16" s="228"/>
      <c r="G16" s="228"/>
      <c r="H16" s="231"/>
      <c r="I16" s="231"/>
      <c r="J16" s="228"/>
      <c r="K16" s="167"/>
      <c r="L16" s="167"/>
      <c r="M16" s="167"/>
      <c r="N16" s="167"/>
      <c r="O16" s="167"/>
      <c r="P16" s="165"/>
      <c r="Q16" s="165"/>
      <c r="R16" s="165"/>
    </row>
    <row r="17" spans="1:20" s="162" customFormat="1" ht="12" customHeight="1" x14ac:dyDescent="0.25">
      <c r="A17" s="225"/>
      <c r="B17" s="162" t="s">
        <v>150</v>
      </c>
      <c r="C17" s="166">
        <v>0</v>
      </c>
      <c r="E17" s="228"/>
      <c r="F17" s="228"/>
      <c r="G17" s="228"/>
      <c r="H17" s="231"/>
      <c r="I17" s="231"/>
      <c r="J17" s="228"/>
      <c r="K17" s="167"/>
      <c r="L17" s="167"/>
      <c r="M17" s="167"/>
      <c r="N17" s="167"/>
      <c r="O17" s="167"/>
      <c r="P17" s="165"/>
      <c r="Q17" s="165"/>
      <c r="R17" s="165"/>
    </row>
    <row r="18" spans="1:20" s="162" customFormat="1" ht="12" customHeight="1" x14ac:dyDescent="0.25">
      <c r="B18" s="235" t="s">
        <v>151</v>
      </c>
      <c r="C18" s="134" t="s">
        <v>227</v>
      </c>
      <c r="D18" s="115" t="s">
        <v>220</v>
      </c>
      <c r="E18" s="228"/>
      <c r="F18" s="228"/>
      <c r="G18" s="228"/>
      <c r="H18" s="231"/>
      <c r="I18" s="231"/>
      <c r="J18" s="228"/>
      <c r="P18" s="165"/>
      <c r="Q18" s="165"/>
      <c r="R18" s="165"/>
    </row>
    <row r="19" spans="1:20" s="162" customFormat="1" ht="12" customHeight="1" x14ac:dyDescent="0.25">
      <c r="C19" s="166"/>
      <c r="D19" s="227"/>
      <c r="E19" s="228"/>
      <c r="F19" s="228"/>
      <c r="G19" s="228"/>
      <c r="H19" s="231"/>
      <c r="I19" s="231"/>
      <c r="J19" s="228"/>
      <c r="P19" s="165"/>
      <c r="Q19" s="165"/>
      <c r="R19" s="165"/>
    </row>
    <row r="20" spans="1:20" s="162" customFormat="1" ht="12" customHeight="1" x14ac:dyDescent="0.25">
      <c r="B20" s="162" t="s">
        <v>262</v>
      </c>
      <c r="C20" s="166" t="s">
        <v>92</v>
      </c>
      <c r="D20" s="227"/>
      <c r="E20" s="228"/>
      <c r="F20" s="228"/>
      <c r="G20" s="228"/>
      <c r="H20" s="231"/>
      <c r="I20" s="231"/>
      <c r="J20" s="228"/>
      <c r="P20" s="165"/>
      <c r="Q20" s="165"/>
      <c r="R20" s="165"/>
    </row>
    <row r="21" spans="1:20" s="158" customFormat="1" ht="12" customHeight="1" x14ac:dyDescent="0.25">
      <c r="A21" s="236"/>
      <c r="B21" s="237" t="s">
        <v>263</v>
      </c>
      <c r="C21" s="157" t="s">
        <v>264</v>
      </c>
      <c r="D21" s="238"/>
      <c r="E21" s="228"/>
      <c r="F21" s="228"/>
      <c r="G21" s="228"/>
      <c r="H21" s="231"/>
      <c r="I21" s="231"/>
      <c r="J21" s="228"/>
      <c r="K21" s="174"/>
      <c r="L21" s="174"/>
    </row>
    <row r="22" spans="1:20" s="158" customFormat="1" ht="12" customHeight="1" x14ac:dyDescent="0.25">
      <c r="A22" s="236"/>
      <c r="B22" s="237" t="s">
        <v>265</v>
      </c>
      <c r="C22" s="157" t="s">
        <v>48</v>
      </c>
      <c r="D22" s="238"/>
      <c r="E22" s="228"/>
      <c r="F22" s="228"/>
      <c r="G22" s="228"/>
      <c r="H22" s="231"/>
      <c r="I22" s="231"/>
      <c r="J22" s="228"/>
      <c r="K22" s="174"/>
      <c r="L22" s="174"/>
    </row>
    <row r="23" spans="1:20" s="162" customFormat="1" ht="12" customHeight="1" x14ac:dyDescent="0.25">
      <c r="B23" s="235" t="s">
        <v>266</v>
      </c>
      <c r="C23" s="239">
        <v>200</v>
      </c>
      <c r="D23" s="227"/>
      <c r="E23" s="228"/>
      <c r="F23" s="228"/>
      <c r="G23" s="228"/>
      <c r="H23" s="231"/>
      <c r="I23" s="231"/>
      <c r="J23" s="228"/>
      <c r="P23" s="165"/>
      <c r="Q23" s="165"/>
      <c r="R23" s="165"/>
    </row>
    <row r="24" spans="1:20" s="155" customFormat="1" ht="12" customHeight="1" x14ac:dyDescent="0.25">
      <c r="B24" s="240" t="s">
        <v>267</v>
      </c>
      <c r="C24" s="241" t="s">
        <v>268</v>
      </c>
      <c r="E24" s="228"/>
      <c r="F24" s="228"/>
      <c r="G24" s="228"/>
      <c r="H24" s="231"/>
      <c r="I24" s="242"/>
      <c r="J24" s="156"/>
    </row>
    <row r="25" spans="1:20" s="155" customFormat="1" ht="12" customHeight="1" x14ac:dyDescent="0.2">
      <c r="B25" s="240" t="s">
        <v>269</v>
      </c>
      <c r="C25" s="241" t="s">
        <v>268</v>
      </c>
      <c r="E25" s="133"/>
      <c r="F25" s="134"/>
      <c r="G25" s="134"/>
      <c r="H25" s="243"/>
      <c r="I25" s="242"/>
      <c r="J25" s="156"/>
    </row>
    <row r="26" spans="1:20" s="158" customFormat="1" ht="12" customHeight="1" x14ac:dyDescent="0.25">
      <c r="A26" s="236"/>
      <c r="B26" s="237" t="s">
        <v>270</v>
      </c>
      <c r="C26" s="157" t="s">
        <v>271</v>
      </c>
      <c r="D26" s="238"/>
      <c r="E26" s="228"/>
      <c r="F26" s="228"/>
      <c r="G26" s="228"/>
      <c r="H26" s="243"/>
      <c r="I26" s="244"/>
      <c r="J26" s="174"/>
      <c r="K26" s="174"/>
      <c r="L26" s="174"/>
    </row>
    <row r="27" spans="1:20" s="158" customFormat="1" ht="12" customHeight="1" x14ac:dyDescent="0.25">
      <c r="A27" s="236"/>
      <c r="B27" s="237" t="s">
        <v>272</v>
      </c>
      <c r="C27" s="157" t="s">
        <v>271</v>
      </c>
      <c r="D27" s="238"/>
      <c r="E27" s="228"/>
      <c r="F27" s="228"/>
      <c r="G27" s="228"/>
      <c r="H27" s="243"/>
      <c r="I27" s="244"/>
      <c r="J27" s="174"/>
      <c r="K27" s="174"/>
      <c r="L27" s="174"/>
    </row>
    <row r="28" spans="1:20" s="158" customFormat="1" ht="12" customHeight="1" x14ac:dyDescent="0.25">
      <c r="A28" s="236"/>
      <c r="B28" s="237"/>
      <c r="C28" s="157"/>
      <c r="D28" s="238"/>
      <c r="E28" s="228"/>
      <c r="F28" s="228"/>
      <c r="G28" s="228"/>
      <c r="H28" s="229"/>
      <c r="I28" s="244"/>
      <c r="J28" s="174"/>
      <c r="K28" s="174"/>
      <c r="L28" s="174"/>
    </row>
    <row r="29" spans="1:20" s="162" customFormat="1" ht="12" customHeight="1" x14ac:dyDescent="0.25">
      <c r="B29" s="245" t="s">
        <v>152</v>
      </c>
      <c r="C29" s="166" t="s">
        <v>48</v>
      </c>
      <c r="D29" s="227"/>
      <c r="E29" s="228"/>
      <c r="F29" s="228"/>
      <c r="G29" s="228"/>
      <c r="H29" s="229"/>
      <c r="I29" s="226"/>
      <c r="J29" s="167"/>
      <c r="K29" s="167"/>
      <c r="L29" s="167"/>
      <c r="M29" s="167"/>
      <c r="N29" s="167"/>
      <c r="O29" s="167"/>
      <c r="P29" s="165"/>
      <c r="Q29" s="165"/>
      <c r="R29" s="165"/>
    </row>
    <row r="30" spans="1:20" s="162" customFormat="1" ht="12" customHeight="1" x14ac:dyDescent="0.25">
      <c r="B30" s="235" t="s">
        <v>153</v>
      </c>
      <c r="C30" s="239" t="s">
        <v>92</v>
      </c>
      <c r="D30" s="161"/>
      <c r="E30" s="228"/>
      <c r="F30" s="228"/>
      <c r="G30" s="228"/>
      <c r="H30" s="229"/>
      <c r="I30" s="226"/>
      <c r="J30" s="167"/>
      <c r="K30" s="167"/>
      <c r="L30" s="167"/>
      <c r="M30" s="167"/>
      <c r="N30" s="167"/>
      <c r="O30" s="167"/>
      <c r="P30" s="165"/>
      <c r="Q30" s="165"/>
      <c r="R30" s="165"/>
    </row>
    <row r="31" spans="1:20" s="154" customFormat="1" ht="12" customHeight="1" x14ac:dyDescent="0.25">
      <c r="A31" s="187"/>
      <c r="B31" s="160" t="s">
        <v>178</v>
      </c>
      <c r="C31" s="138" t="s">
        <v>92</v>
      </c>
      <c r="D31" s="161" t="s">
        <v>179</v>
      </c>
      <c r="E31" s="228"/>
      <c r="F31" s="228"/>
      <c r="G31" s="228"/>
      <c r="H31" s="229"/>
      <c r="I31" s="246"/>
      <c r="T31" s="188"/>
    </row>
    <row r="32" spans="1:20" s="162" customFormat="1" ht="12" customHeight="1" x14ac:dyDescent="0.25">
      <c r="B32" s="162" t="s">
        <v>154</v>
      </c>
      <c r="C32" s="166" t="s">
        <v>48</v>
      </c>
      <c r="D32" s="227"/>
      <c r="E32" s="228"/>
      <c r="F32" s="228"/>
      <c r="G32" s="228"/>
      <c r="H32" s="229"/>
      <c r="I32" s="226"/>
      <c r="J32" s="167"/>
      <c r="K32" s="167"/>
      <c r="L32" s="167"/>
      <c r="M32" s="167"/>
      <c r="N32" s="167"/>
      <c r="O32" s="167"/>
      <c r="P32" s="165"/>
      <c r="Q32" s="165"/>
      <c r="R32" s="165"/>
    </row>
    <row r="33" spans="1:20" s="162" customFormat="1" ht="12" customHeight="1" x14ac:dyDescent="0.25">
      <c r="B33" s="162" t="s">
        <v>155</v>
      </c>
      <c r="C33" s="166" t="s">
        <v>48</v>
      </c>
      <c r="D33" s="227"/>
      <c r="E33" s="228"/>
      <c r="F33" s="228"/>
      <c r="G33" s="228"/>
      <c r="H33" s="226"/>
      <c r="I33" s="226"/>
      <c r="J33" s="167"/>
      <c r="K33" s="167"/>
      <c r="L33" s="167"/>
      <c r="M33" s="167"/>
      <c r="N33" s="167"/>
      <c r="O33" s="167"/>
      <c r="P33" s="165"/>
      <c r="Q33" s="165"/>
      <c r="R33" s="165"/>
    </row>
    <row r="34" spans="1:20" s="162" customFormat="1" ht="12" customHeight="1" x14ac:dyDescent="0.25">
      <c r="C34" s="166"/>
      <c r="D34" s="227"/>
      <c r="E34" s="228"/>
      <c r="F34" s="228"/>
      <c r="G34" s="228"/>
      <c r="H34" s="226"/>
      <c r="I34" s="226"/>
      <c r="J34" s="167"/>
      <c r="K34" s="167"/>
      <c r="L34" s="167"/>
      <c r="M34" s="167"/>
      <c r="N34" s="167"/>
      <c r="O34" s="167"/>
      <c r="P34" s="165"/>
      <c r="Q34" s="165"/>
      <c r="R34" s="165"/>
    </row>
    <row r="35" spans="1:20" s="162" customFormat="1" ht="12" customHeight="1" x14ac:dyDescent="0.2">
      <c r="B35" s="162" t="s">
        <v>16</v>
      </c>
      <c r="C35" s="166" t="s">
        <v>24</v>
      </c>
      <c r="D35" s="227"/>
      <c r="E35" s="227"/>
      <c r="F35" s="164"/>
      <c r="G35" s="164"/>
      <c r="H35" s="226"/>
      <c r="I35" s="226"/>
      <c r="J35" s="167"/>
      <c r="K35" s="167"/>
      <c r="L35" s="167"/>
      <c r="M35" s="167"/>
      <c r="N35" s="167"/>
      <c r="O35" s="167"/>
      <c r="P35" s="165"/>
      <c r="Q35" s="165"/>
      <c r="R35" s="165"/>
    </row>
    <row r="36" spans="1:20" s="162" customFormat="1" ht="12" customHeight="1" x14ac:dyDescent="0.2">
      <c r="B36" s="162" t="s">
        <v>25</v>
      </c>
      <c r="C36" s="166">
        <v>30</v>
      </c>
      <c r="D36" s="227"/>
      <c r="F36" s="164"/>
      <c r="G36" s="164"/>
      <c r="H36" s="226"/>
      <c r="I36" s="226"/>
      <c r="J36" s="167"/>
      <c r="K36" s="167"/>
      <c r="L36" s="167"/>
      <c r="M36" s="167"/>
      <c r="N36" s="167"/>
      <c r="O36" s="167"/>
      <c r="P36" s="165"/>
      <c r="Q36" s="165"/>
      <c r="R36" s="165"/>
    </row>
    <row r="37" spans="1:20" s="133" customFormat="1" x14ac:dyDescent="0.2">
      <c r="B37" s="133" t="s">
        <v>195</v>
      </c>
      <c r="C37" s="134">
        <v>30</v>
      </c>
      <c r="D37" s="115"/>
      <c r="F37" s="125"/>
      <c r="G37" s="125"/>
      <c r="H37" s="125"/>
      <c r="I37" s="125"/>
      <c r="J37" s="125"/>
      <c r="K37" s="125"/>
      <c r="L37" s="125"/>
      <c r="M37" s="125"/>
    </row>
    <row r="38" spans="1:20" s="133" customFormat="1" x14ac:dyDescent="0.2">
      <c r="B38" s="133" t="s">
        <v>190</v>
      </c>
      <c r="C38" s="134">
        <v>1</v>
      </c>
      <c r="D38" s="115"/>
      <c r="F38" s="125"/>
      <c r="G38" s="125"/>
      <c r="H38" s="125"/>
      <c r="I38" s="125"/>
      <c r="J38" s="125"/>
      <c r="K38" s="125"/>
      <c r="L38" s="125"/>
      <c r="M38" s="125"/>
    </row>
    <row r="39" spans="1:20" s="162" customFormat="1" ht="12" customHeight="1" x14ac:dyDescent="0.2">
      <c r="C39" s="166"/>
      <c r="F39" s="164"/>
      <c r="G39" s="164"/>
      <c r="H39" s="226"/>
      <c r="I39" s="226"/>
      <c r="J39" s="167"/>
      <c r="K39" s="167"/>
      <c r="L39" s="167"/>
      <c r="M39" s="167"/>
      <c r="N39" s="167"/>
      <c r="O39" s="167"/>
      <c r="P39" s="165"/>
      <c r="Q39" s="165"/>
      <c r="R39" s="165"/>
    </row>
    <row r="40" spans="1:20" s="162" customFormat="1" ht="12" customHeight="1" x14ac:dyDescent="0.2">
      <c r="B40" s="162" t="s">
        <v>157</v>
      </c>
      <c r="C40" s="163">
        <v>0.2</v>
      </c>
      <c r="F40" s="164"/>
      <c r="G40" s="164"/>
      <c r="H40" s="247"/>
      <c r="I40" s="247"/>
      <c r="P40" s="165"/>
      <c r="Q40" s="165"/>
      <c r="R40" s="165"/>
    </row>
    <row r="41" spans="1:20" s="162" customFormat="1" ht="12" customHeight="1" x14ac:dyDescent="0.2">
      <c r="B41" s="162" t="s">
        <v>156</v>
      </c>
      <c r="C41" s="163" t="s">
        <v>24</v>
      </c>
      <c r="F41" s="164"/>
      <c r="G41" s="164"/>
      <c r="H41" s="247"/>
      <c r="I41" s="247"/>
      <c r="P41" s="165"/>
      <c r="Q41" s="165"/>
      <c r="R41" s="165"/>
    </row>
    <row r="42" spans="1:20" s="162" customFormat="1" ht="12" customHeight="1" x14ac:dyDescent="0.2">
      <c r="B42" s="162" t="s">
        <v>158</v>
      </c>
      <c r="C42" s="166" t="s">
        <v>14</v>
      </c>
      <c r="F42" s="164"/>
      <c r="G42" s="164"/>
      <c r="H42" s="226"/>
      <c r="I42" s="226"/>
      <c r="J42" s="167"/>
      <c r="K42" s="167"/>
      <c r="L42" s="167"/>
      <c r="M42" s="167"/>
      <c r="N42" s="167"/>
      <c r="O42" s="167"/>
      <c r="P42" s="165"/>
      <c r="Q42" s="165"/>
      <c r="R42" s="165"/>
    </row>
    <row r="43" spans="1:20" s="170" customFormat="1" x14ac:dyDescent="0.2">
      <c r="A43" s="248"/>
      <c r="B43" s="168" t="s">
        <v>208</v>
      </c>
      <c r="C43" s="169" t="s">
        <v>48</v>
      </c>
      <c r="L43" s="171"/>
      <c r="M43" s="171"/>
    </row>
    <row r="44" spans="1:20" s="170" customFormat="1" x14ac:dyDescent="0.2">
      <c r="B44" s="170" t="s">
        <v>273</v>
      </c>
      <c r="C44" s="169" t="s">
        <v>48</v>
      </c>
      <c r="E44" s="171"/>
      <c r="F44" s="171"/>
      <c r="G44" s="171"/>
      <c r="H44" s="171"/>
      <c r="I44" s="171"/>
      <c r="J44" s="171"/>
      <c r="K44" s="171"/>
      <c r="L44" s="171"/>
    </row>
    <row r="45" spans="1:20" s="170" customFormat="1" x14ac:dyDescent="0.2">
      <c r="B45" s="170" t="s">
        <v>274</v>
      </c>
      <c r="C45" s="169" t="s">
        <v>48</v>
      </c>
      <c r="E45" s="171"/>
      <c r="F45" s="171"/>
      <c r="G45" s="171"/>
      <c r="H45" s="171"/>
      <c r="I45" s="171"/>
      <c r="J45" s="171"/>
      <c r="K45" s="171"/>
      <c r="L45" s="171"/>
    </row>
    <row r="46" spans="1:20" ht="12" customHeight="1" x14ac:dyDescent="0.2">
      <c r="F46" s="164"/>
      <c r="G46" s="164"/>
    </row>
    <row r="47" spans="1:20" s="252" customFormat="1" ht="51" x14ac:dyDescent="0.2">
      <c r="A47" s="252" t="s">
        <v>15</v>
      </c>
      <c r="B47" s="252" t="s">
        <v>10</v>
      </c>
      <c r="C47" s="173" t="s">
        <v>11</v>
      </c>
      <c r="D47" s="173" t="s">
        <v>12</v>
      </c>
      <c r="E47" s="173" t="s">
        <v>27</v>
      </c>
      <c r="F47" s="141" t="s">
        <v>167</v>
      </c>
      <c r="G47" s="141" t="s">
        <v>138</v>
      </c>
      <c r="H47" s="253" t="s">
        <v>149</v>
      </c>
      <c r="I47" s="253" t="s">
        <v>150</v>
      </c>
      <c r="J47" s="173" t="s">
        <v>143</v>
      </c>
      <c r="K47" s="173" t="s">
        <v>145</v>
      </c>
      <c r="L47" s="173" t="s">
        <v>146</v>
      </c>
      <c r="M47" s="173" t="s">
        <v>153</v>
      </c>
      <c r="N47" s="173" t="s">
        <v>147</v>
      </c>
      <c r="O47" s="173" t="s">
        <v>148</v>
      </c>
      <c r="P47" s="172" t="s">
        <v>207</v>
      </c>
      <c r="Q47" s="172" t="s">
        <v>206</v>
      </c>
      <c r="R47" s="142" t="s">
        <v>275</v>
      </c>
      <c r="S47" s="173" t="s">
        <v>25</v>
      </c>
      <c r="T47" s="173" t="s">
        <v>195</v>
      </c>
    </row>
    <row r="48" spans="1:20" s="252" customFormat="1" ht="12" customHeight="1" x14ac:dyDescent="0.25">
      <c r="A48" s="254" t="s">
        <v>21</v>
      </c>
      <c r="B48" s="255" t="s">
        <v>276</v>
      </c>
      <c r="C48" s="256" t="s">
        <v>13</v>
      </c>
      <c r="D48" s="256" t="s">
        <v>13</v>
      </c>
      <c r="E48" s="256" t="s">
        <v>28</v>
      </c>
      <c r="F48" s="257"/>
      <c r="G48" s="257"/>
      <c r="H48" s="258" t="s">
        <v>210</v>
      </c>
      <c r="I48" s="258" t="s">
        <v>210</v>
      </c>
      <c r="J48" s="256" t="s">
        <v>183</v>
      </c>
      <c r="K48" s="256" t="s">
        <v>22</v>
      </c>
      <c r="L48" s="256" t="s">
        <v>22</v>
      </c>
      <c r="M48" s="256"/>
      <c r="N48" s="256" t="s">
        <v>23</v>
      </c>
      <c r="O48" s="256" t="s">
        <v>23</v>
      </c>
      <c r="P48" s="259"/>
      <c r="Q48" s="259"/>
      <c r="R48" s="259"/>
    </row>
    <row r="49" spans="1:20" s="133" customFormat="1" ht="12" customHeight="1" x14ac:dyDescent="0.25">
      <c r="A49" s="144"/>
      <c r="B49" s="133" t="s">
        <v>277</v>
      </c>
      <c r="C49" s="116">
        <v>5</v>
      </c>
      <c r="D49" s="116">
        <v>0</v>
      </c>
      <c r="E49" s="260" t="s">
        <v>278</v>
      </c>
      <c r="F49" s="186">
        <v>100</v>
      </c>
      <c r="G49" s="186">
        <v>0</v>
      </c>
      <c r="H49" s="204">
        <v>0</v>
      </c>
      <c r="I49" s="204">
        <v>0</v>
      </c>
      <c r="J49" s="186">
        <v>40</v>
      </c>
      <c r="K49" s="261">
        <v>200</v>
      </c>
      <c r="L49" s="186">
        <v>200</v>
      </c>
      <c r="M49" s="190" t="s">
        <v>92</v>
      </c>
      <c r="N49" s="186">
        <v>150</v>
      </c>
      <c r="O49" s="130">
        <v>150</v>
      </c>
      <c r="P49" s="262" t="s">
        <v>92</v>
      </c>
      <c r="Q49" s="262" t="s">
        <v>92</v>
      </c>
      <c r="R49" s="262" t="s">
        <v>48</v>
      </c>
      <c r="S49" s="116">
        <v>10</v>
      </c>
      <c r="T49" s="116">
        <v>10</v>
      </c>
    </row>
    <row r="50" spans="1:20" s="264" customFormat="1" ht="12" customHeight="1" x14ac:dyDescent="0.2">
      <c r="A50" s="263"/>
      <c r="B50" s="264" t="s">
        <v>279</v>
      </c>
      <c r="C50" s="265">
        <v>5</v>
      </c>
      <c r="D50" s="265">
        <v>0</v>
      </c>
      <c r="E50" s="265"/>
      <c r="F50" s="265">
        <v>100</v>
      </c>
      <c r="G50" s="265">
        <v>100</v>
      </c>
      <c r="H50" s="266">
        <v>1</v>
      </c>
      <c r="I50" s="266">
        <v>0.2</v>
      </c>
      <c r="J50" s="265">
        <v>40</v>
      </c>
      <c r="K50" s="265">
        <v>122</v>
      </c>
      <c r="L50" s="265">
        <v>122</v>
      </c>
      <c r="M50" s="267" t="s">
        <v>48</v>
      </c>
      <c r="N50" s="267">
        <v>0</v>
      </c>
      <c r="O50" s="267">
        <v>0</v>
      </c>
      <c r="P50" s="262" t="s">
        <v>48</v>
      </c>
      <c r="Q50" s="262" t="s">
        <v>48</v>
      </c>
      <c r="R50" s="262" t="s">
        <v>92</v>
      </c>
    </row>
    <row r="51" spans="1:20" s="264" customFormat="1" ht="12" customHeight="1" x14ac:dyDescent="0.2">
      <c r="A51" s="263"/>
      <c r="B51" s="264" t="s">
        <v>280</v>
      </c>
      <c r="C51" s="265">
        <v>5</v>
      </c>
      <c r="D51" s="265">
        <v>0</v>
      </c>
      <c r="E51" s="268" t="s">
        <v>44</v>
      </c>
      <c r="F51" s="265"/>
      <c r="G51" s="265"/>
      <c r="H51" s="266"/>
      <c r="I51" s="266"/>
      <c r="J51" s="265"/>
      <c r="K51" s="265"/>
      <c r="L51" s="265"/>
      <c r="M51" s="267" t="s">
        <v>48</v>
      </c>
      <c r="N51" s="267"/>
      <c r="O51" s="267"/>
      <c r="P51" s="262"/>
      <c r="Q51" s="262"/>
      <c r="R51" s="262"/>
    </row>
    <row r="52" spans="1:20" s="264" customFormat="1" ht="12" customHeight="1" x14ac:dyDescent="0.25">
      <c r="A52" s="254" t="s">
        <v>21</v>
      </c>
      <c r="B52" s="255" t="s">
        <v>281</v>
      </c>
      <c r="C52" s="265"/>
      <c r="D52" s="265"/>
      <c r="E52" s="265"/>
      <c r="F52" s="265"/>
      <c r="G52" s="265"/>
      <c r="H52" s="266"/>
      <c r="I52" s="266"/>
      <c r="J52" s="265"/>
      <c r="K52" s="265"/>
      <c r="L52" s="265"/>
      <c r="M52" s="265"/>
      <c r="N52" s="265"/>
      <c r="O52" s="265"/>
      <c r="P52" s="262"/>
      <c r="Q52" s="262"/>
      <c r="R52" s="262"/>
    </row>
    <row r="53" spans="1:20" s="264" customFormat="1" ht="12" customHeight="1" x14ac:dyDescent="0.2">
      <c r="A53" s="263"/>
      <c r="B53" s="264" t="s">
        <v>282</v>
      </c>
      <c r="C53" s="265">
        <v>2</v>
      </c>
      <c r="D53" s="265">
        <v>0</v>
      </c>
      <c r="E53" s="269" t="s">
        <v>283</v>
      </c>
      <c r="F53" s="265">
        <v>30</v>
      </c>
      <c r="G53" s="265"/>
      <c r="H53" s="270">
        <v>1</v>
      </c>
      <c r="I53" s="266">
        <v>0.2</v>
      </c>
      <c r="J53" s="265">
        <v>40</v>
      </c>
      <c r="K53" s="265">
        <v>122</v>
      </c>
      <c r="L53" s="265">
        <v>122</v>
      </c>
      <c r="M53" s="265" t="s">
        <v>48</v>
      </c>
      <c r="N53" s="265">
        <v>0</v>
      </c>
      <c r="O53" s="265">
        <v>0</v>
      </c>
      <c r="P53" s="262" t="s">
        <v>48</v>
      </c>
      <c r="Q53" s="262" t="s">
        <v>48</v>
      </c>
      <c r="R53" s="262" t="s">
        <v>92</v>
      </c>
    </row>
    <row r="54" spans="1:20" s="264" customFormat="1" ht="12" customHeight="1" x14ac:dyDescent="0.2">
      <c r="A54" s="263"/>
      <c r="B54" s="264" t="s">
        <v>284</v>
      </c>
      <c r="C54" s="265">
        <v>2</v>
      </c>
      <c r="D54" s="265">
        <v>0</v>
      </c>
      <c r="E54" s="269" t="s">
        <v>283</v>
      </c>
      <c r="F54" s="265">
        <v>30</v>
      </c>
      <c r="G54" s="265"/>
      <c r="H54" s="270">
        <v>1</v>
      </c>
      <c r="I54" s="266">
        <v>0.2</v>
      </c>
      <c r="J54" s="265">
        <v>40</v>
      </c>
      <c r="K54" s="265">
        <v>122</v>
      </c>
      <c r="L54" s="265">
        <v>122</v>
      </c>
      <c r="M54" s="265" t="s">
        <v>48</v>
      </c>
      <c r="N54" s="265">
        <v>0</v>
      </c>
      <c r="O54" s="265">
        <v>0</v>
      </c>
      <c r="P54" s="262" t="s">
        <v>48</v>
      </c>
      <c r="Q54" s="262" t="s">
        <v>48</v>
      </c>
      <c r="R54" s="262" t="s">
        <v>92</v>
      </c>
    </row>
    <row r="55" spans="1:20" s="264" customFormat="1" ht="12" customHeight="1" x14ac:dyDescent="0.2">
      <c r="A55" s="263"/>
      <c r="B55" s="264" t="str">
        <f xml:space="preserve"> "Shorting:  " &amp;F55 &amp; "% H2/N2 - "&amp;J55&amp;"°C - 122%RH - 0.35V"</f>
        <v>Shorting:  30% H2/N2 - 40°C - 122%RH - 0.35V</v>
      </c>
      <c r="C55" s="265">
        <v>2</v>
      </c>
      <c r="D55" s="265">
        <v>0</v>
      </c>
      <c r="E55" s="269" t="s">
        <v>283</v>
      </c>
      <c r="F55" s="265">
        <v>30</v>
      </c>
      <c r="G55" s="265"/>
      <c r="H55" s="270">
        <v>1</v>
      </c>
      <c r="I55" s="266">
        <v>0.2</v>
      </c>
      <c r="J55" s="265">
        <v>40</v>
      </c>
      <c r="K55" s="265">
        <v>122</v>
      </c>
      <c r="L55" s="265">
        <v>122</v>
      </c>
      <c r="M55" s="265" t="s">
        <v>48</v>
      </c>
      <c r="N55" s="265">
        <v>0</v>
      </c>
      <c r="O55" s="265">
        <v>0</v>
      </c>
      <c r="P55" s="262" t="s">
        <v>48</v>
      </c>
      <c r="Q55" s="262" t="s">
        <v>48</v>
      </c>
      <c r="R55" s="262" t="s">
        <v>92</v>
      </c>
    </row>
    <row r="56" spans="1:20" s="264" customFormat="1" ht="12" customHeight="1" x14ac:dyDescent="0.2">
      <c r="A56" s="263"/>
      <c r="B56" s="264" t="str">
        <f xml:space="preserve"> "Shorting:  " &amp;F56 &amp; "% H2/N2 - "&amp;J56&amp;"°C - 122%RH - 0.35V"</f>
        <v>Shorting:  70% H2/N2 - 40°C - 122%RH - 0.35V</v>
      </c>
      <c r="C56" s="265">
        <v>2</v>
      </c>
      <c r="D56" s="265">
        <v>0</v>
      </c>
      <c r="E56" s="269" t="s">
        <v>283</v>
      </c>
      <c r="F56" s="265">
        <v>70</v>
      </c>
      <c r="G56" s="265"/>
      <c r="H56" s="270">
        <v>1</v>
      </c>
      <c r="I56" s="266">
        <v>0.2</v>
      </c>
      <c r="J56" s="265">
        <v>40</v>
      </c>
      <c r="K56" s="265">
        <v>122</v>
      </c>
      <c r="L56" s="265">
        <v>122</v>
      </c>
      <c r="M56" s="265" t="s">
        <v>48</v>
      </c>
      <c r="N56" s="265">
        <v>0</v>
      </c>
      <c r="O56" s="265">
        <v>0</v>
      </c>
      <c r="P56" s="262" t="s">
        <v>48</v>
      </c>
      <c r="Q56" s="262" t="s">
        <v>48</v>
      </c>
      <c r="R56" s="262" t="s">
        <v>92</v>
      </c>
    </row>
    <row r="57" spans="1:20" s="264" customFormat="1" ht="12" customHeight="1" x14ac:dyDescent="0.2">
      <c r="A57" s="263"/>
      <c r="B57" s="264" t="str">
        <f xml:space="preserve"> "Shorting:  " &amp;F57 &amp; "% H2/N2 - "&amp;J57&amp;"°C - 122%RH - 0.35V"</f>
        <v>Shorting:  90% H2/N2 - 40°C - 122%RH - 0.35V</v>
      </c>
      <c r="C57" s="265">
        <v>2</v>
      </c>
      <c r="D57" s="265">
        <v>0</v>
      </c>
      <c r="E57" s="269" t="s">
        <v>283</v>
      </c>
      <c r="F57" s="265">
        <v>90</v>
      </c>
      <c r="G57" s="265"/>
      <c r="H57" s="270">
        <v>1</v>
      </c>
      <c r="I57" s="266">
        <v>0.2</v>
      </c>
      <c r="J57" s="265">
        <v>40</v>
      </c>
      <c r="K57" s="265">
        <v>122</v>
      </c>
      <c r="L57" s="265">
        <v>122</v>
      </c>
      <c r="M57" s="265" t="s">
        <v>48</v>
      </c>
      <c r="N57" s="265">
        <v>0</v>
      </c>
      <c r="O57" s="265">
        <v>0</v>
      </c>
      <c r="P57" s="262" t="s">
        <v>48</v>
      </c>
      <c r="Q57" s="262" t="s">
        <v>48</v>
      </c>
      <c r="R57" s="262" t="s">
        <v>92</v>
      </c>
    </row>
    <row r="58" spans="1:20" s="264" customFormat="1" ht="12" customHeight="1" x14ac:dyDescent="0.2">
      <c r="A58" s="263"/>
      <c r="B58" s="264" t="str">
        <f xml:space="preserve"> "Shorting:  " &amp;F58 &amp; "% H2/N2 - "&amp;J58&amp;"°C - 122%RH - 0.35V"</f>
        <v>Shorting:  10% H2/N2 - 40°C - 122%RH - 0.35V</v>
      </c>
      <c r="C58" s="265">
        <v>2</v>
      </c>
      <c r="D58" s="265">
        <v>0</v>
      </c>
      <c r="E58" s="269" t="s">
        <v>283</v>
      </c>
      <c r="F58" s="265">
        <v>10</v>
      </c>
      <c r="G58" s="265"/>
      <c r="H58" s="270">
        <v>1</v>
      </c>
      <c r="I58" s="266">
        <v>0.2</v>
      </c>
      <c r="J58" s="265">
        <v>40</v>
      </c>
      <c r="K58" s="265">
        <v>122</v>
      </c>
      <c r="L58" s="265">
        <v>122</v>
      </c>
      <c r="M58" s="265" t="s">
        <v>48</v>
      </c>
      <c r="N58" s="265">
        <v>0</v>
      </c>
      <c r="O58" s="265">
        <v>0</v>
      </c>
      <c r="P58" s="262" t="s">
        <v>48</v>
      </c>
      <c r="Q58" s="262" t="s">
        <v>48</v>
      </c>
      <c r="R58" s="262" t="s">
        <v>92</v>
      </c>
    </row>
    <row r="59" spans="1:20" s="264" customFormat="1" ht="12" customHeight="1" x14ac:dyDescent="0.2">
      <c r="A59" s="263"/>
      <c r="B59" s="264" t="str">
        <f xml:space="preserve"> "Shorting:  " &amp;F59 &amp; "% H2/N2 - "&amp;J59&amp;"°C - 122%RH - 0.35V"</f>
        <v>Shorting:  50% H2/N2 - 40°C - 122%RH - 0.35V</v>
      </c>
      <c r="C59" s="265">
        <v>2</v>
      </c>
      <c r="D59" s="265">
        <v>0</v>
      </c>
      <c r="E59" s="269" t="s">
        <v>283</v>
      </c>
      <c r="F59" s="265">
        <v>50</v>
      </c>
      <c r="G59" s="265"/>
      <c r="H59" s="270">
        <v>1</v>
      </c>
      <c r="I59" s="266">
        <v>0.2</v>
      </c>
      <c r="J59" s="265">
        <v>40</v>
      </c>
      <c r="K59" s="265">
        <v>122</v>
      </c>
      <c r="L59" s="265">
        <v>122</v>
      </c>
      <c r="M59" s="265" t="s">
        <v>48</v>
      </c>
      <c r="N59" s="265">
        <v>0</v>
      </c>
      <c r="O59" s="265">
        <v>0</v>
      </c>
      <c r="P59" s="262" t="s">
        <v>48</v>
      </c>
      <c r="Q59" s="262" t="s">
        <v>48</v>
      </c>
      <c r="R59" s="262" t="s">
        <v>92</v>
      </c>
    </row>
    <row r="60" spans="1:20" s="264" customFormat="1" ht="12" customHeight="1" x14ac:dyDescent="0.25">
      <c r="A60" s="254" t="s">
        <v>21</v>
      </c>
      <c r="B60" s="255" t="s">
        <v>108</v>
      </c>
      <c r="C60" s="265"/>
      <c r="D60" s="265"/>
      <c r="E60" s="265"/>
      <c r="F60" s="265"/>
      <c r="G60" s="265"/>
      <c r="H60" s="266"/>
      <c r="I60" s="266"/>
      <c r="J60" s="265"/>
      <c r="K60" s="265"/>
      <c r="L60" s="265"/>
      <c r="M60" s="265"/>
      <c r="N60" s="265"/>
      <c r="O60" s="265"/>
      <c r="P60" s="262"/>
      <c r="Q60" s="262"/>
      <c r="R60" s="262"/>
    </row>
    <row r="61" spans="1:20" s="264" customFormat="1" ht="12" customHeight="1" x14ac:dyDescent="0.2">
      <c r="A61" s="265"/>
      <c r="B61" s="264" t="s">
        <v>285</v>
      </c>
      <c r="C61" s="265">
        <v>5</v>
      </c>
      <c r="D61" s="265">
        <v>0</v>
      </c>
      <c r="E61" s="271" t="s">
        <v>286</v>
      </c>
      <c r="F61" s="265">
        <v>100</v>
      </c>
      <c r="G61" s="265">
        <v>100</v>
      </c>
      <c r="H61" s="266">
        <v>1</v>
      </c>
      <c r="I61" s="266">
        <v>1</v>
      </c>
      <c r="J61" s="265">
        <v>40</v>
      </c>
      <c r="K61" s="265">
        <v>100</v>
      </c>
      <c r="L61" s="265">
        <v>100</v>
      </c>
      <c r="M61" s="265" t="s">
        <v>48</v>
      </c>
      <c r="N61" s="265">
        <v>0</v>
      </c>
      <c r="O61" s="265">
        <v>0</v>
      </c>
      <c r="P61" s="262" t="s">
        <v>92</v>
      </c>
      <c r="Q61" s="262" t="s">
        <v>92</v>
      </c>
      <c r="R61" s="262" t="s">
        <v>48</v>
      </c>
    </row>
    <row r="62" spans="1:20" ht="12" customHeight="1" x14ac:dyDescent="0.2">
      <c r="C62" s="267"/>
      <c r="D62" s="267"/>
      <c r="E62" s="267"/>
      <c r="F62" s="265"/>
      <c r="G62" s="265"/>
      <c r="H62" s="272"/>
      <c r="I62" s="272"/>
      <c r="J62" s="267"/>
      <c r="K62" s="267"/>
      <c r="L62" s="267"/>
      <c r="M62" s="267"/>
      <c r="N62" s="267"/>
      <c r="O62" s="267"/>
    </row>
    <row r="63" spans="1:20" x14ac:dyDescent="0.2">
      <c r="A63" s="249" t="s">
        <v>30</v>
      </c>
      <c r="B63" s="273" t="s">
        <v>31</v>
      </c>
      <c r="C63" s="260" t="s">
        <v>278</v>
      </c>
      <c r="F63" s="265"/>
      <c r="G63" s="265"/>
    </row>
    <row r="64" spans="1:20" s="277" customFormat="1" x14ac:dyDescent="0.2">
      <c r="A64" s="274" t="s">
        <v>21</v>
      </c>
      <c r="B64" s="275" t="s">
        <v>287</v>
      </c>
      <c r="C64" s="276"/>
      <c r="E64" s="278"/>
      <c r="F64" s="279"/>
      <c r="G64" s="279"/>
      <c r="H64" s="280"/>
      <c r="I64" s="280"/>
      <c r="P64" s="281"/>
      <c r="Q64" s="281"/>
      <c r="R64" s="281"/>
    </row>
    <row r="65" spans="1:18" s="284" customFormat="1" x14ac:dyDescent="0.2">
      <c r="A65" s="277"/>
      <c r="B65" s="282" t="s">
        <v>8</v>
      </c>
      <c r="C65" s="283" t="s">
        <v>9</v>
      </c>
      <c r="E65" s="164"/>
      <c r="F65" s="265"/>
      <c r="G65" s="265"/>
      <c r="H65" s="285"/>
      <c r="I65" s="285"/>
      <c r="P65" s="234"/>
      <c r="Q65" s="234"/>
      <c r="R65" s="234"/>
    </row>
    <row r="66" spans="1:18" s="284" customFormat="1" x14ac:dyDescent="0.2">
      <c r="A66" s="277"/>
      <c r="B66" s="282" t="s">
        <v>17</v>
      </c>
      <c r="C66" s="286">
        <v>15</v>
      </c>
      <c r="E66" s="164"/>
      <c r="F66" s="265"/>
      <c r="G66" s="265"/>
      <c r="H66" s="285"/>
      <c r="I66" s="285"/>
      <c r="P66" s="234"/>
      <c r="Q66" s="234"/>
      <c r="R66" s="234"/>
    </row>
    <row r="67" spans="1:18" x14ac:dyDescent="0.2">
      <c r="B67" s="273" t="s">
        <v>140</v>
      </c>
      <c r="C67" s="287">
        <v>1.5</v>
      </c>
      <c r="D67" s="267"/>
      <c r="E67" s="267"/>
      <c r="F67" s="265"/>
      <c r="G67" s="265"/>
      <c r="H67" s="272"/>
      <c r="I67" s="272"/>
      <c r="J67" s="267"/>
      <c r="K67" s="267"/>
      <c r="L67" s="267"/>
      <c r="M67" s="267"/>
      <c r="N67" s="267"/>
      <c r="O67" s="267"/>
    </row>
    <row r="68" spans="1:18" x14ac:dyDescent="0.2">
      <c r="B68" s="273" t="s">
        <v>141</v>
      </c>
      <c r="C68" s="288">
        <v>2</v>
      </c>
      <c r="D68" s="267"/>
      <c r="E68" s="267"/>
      <c r="F68" s="265"/>
      <c r="G68" s="265"/>
      <c r="H68" s="272"/>
      <c r="I68" s="272"/>
      <c r="J68" s="267"/>
      <c r="K68" s="267"/>
      <c r="L68" s="267"/>
      <c r="M68" s="267"/>
      <c r="N68" s="267"/>
      <c r="O68" s="267"/>
    </row>
    <row r="69" spans="1:18" x14ac:dyDescent="0.2">
      <c r="B69" s="273" t="s">
        <v>142</v>
      </c>
      <c r="C69" s="288">
        <v>2</v>
      </c>
      <c r="D69" s="267"/>
      <c r="E69" s="267"/>
      <c r="F69" s="265"/>
      <c r="G69" s="265"/>
      <c r="H69" s="272"/>
      <c r="I69" s="272"/>
      <c r="J69" s="267"/>
      <c r="K69" s="267"/>
      <c r="L69" s="267"/>
      <c r="M69" s="267"/>
      <c r="N69" s="267"/>
      <c r="O69" s="267"/>
    </row>
    <row r="70" spans="1:18" x14ac:dyDescent="0.2">
      <c r="B70" s="273" t="s">
        <v>133</v>
      </c>
      <c r="C70" s="288" t="s">
        <v>90</v>
      </c>
      <c r="D70" s="267"/>
      <c r="E70" s="267"/>
      <c r="F70" s="265"/>
      <c r="G70" s="265"/>
      <c r="H70" s="272"/>
      <c r="I70" s="272"/>
      <c r="J70" s="267"/>
      <c r="K70" s="267"/>
      <c r="L70" s="267"/>
      <c r="M70" s="267"/>
      <c r="N70" s="267"/>
      <c r="O70" s="267"/>
    </row>
    <row r="71" spans="1:18" x14ac:dyDescent="0.2">
      <c r="B71" s="273" t="s">
        <v>136</v>
      </c>
      <c r="C71" s="288">
        <v>0.7</v>
      </c>
      <c r="D71" s="267"/>
      <c r="E71" s="267"/>
      <c r="F71" s="265"/>
      <c r="G71" s="265"/>
      <c r="H71" s="272"/>
      <c r="I71" s="272"/>
      <c r="J71" s="267"/>
      <c r="K71" s="267"/>
      <c r="L71" s="267"/>
      <c r="M71" s="267"/>
      <c r="N71" s="267"/>
      <c r="O71" s="267"/>
    </row>
    <row r="72" spans="1:18" s="277" customFormat="1" x14ac:dyDescent="0.2">
      <c r="A72" s="274" t="s">
        <v>21</v>
      </c>
      <c r="B72" s="275" t="s">
        <v>288</v>
      </c>
      <c r="C72" s="276"/>
      <c r="E72" s="278"/>
      <c r="F72" s="279"/>
      <c r="G72" s="279"/>
      <c r="H72" s="280"/>
      <c r="I72" s="289"/>
      <c r="P72" s="281"/>
      <c r="Q72" s="281"/>
      <c r="R72" s="281"/>
    </row>
    <row r="73" spans="1:18" s="284" customFormat="1" x14ac:dyDescent="0.2">
      <c r="A73" s="277"/>
      <c r="B73" s="282" t="s">
        <v>8</v>
      </c>
      <c r="C73" s="283" t="s">
        <v>9</v>
      </c>
      <c r="E73" s="164"/>
      <c r="F73" s="265"/>
      <c r="G73" s="265"/>
      <c r="H73" s="285"/>
      <c r="I73" s="290"/>
      <c r="P73" s="234"/>
      <c r="Q73" s="234"/>
      <c r="R73" s="234"/>
    </row>
    <row r="74" spans="1:18" s="284" customFormat="1" x14ac:dyDescent="0.2">
      <c r="A74" s="277"/>
      <c r="B74" s="282" t="s">
        <v>17</v>
      </c>
      <c r="C74" s="286">
        <v>15</v>
      </c>
      <c r="E74" s="164"/>
      <c r="F74" s="265"/>
      <c r="G74" s="265"/>
      <c r="H74" s="285"/>
      <c r="I74" s="285"/>
      <c r="P74" s="234"/>
      <c r="Q74" s="234"/>
      <c r="R74" s="234"/>
    </row>
    <row r="75" spans="1:18" x14ac:dyDescent="0.2">
      <c r="B75" s="273" t="s">
        <v>135</v>
      </c>
      <c r="C75" s="288" t="s">
        <v>92</v>
      </c>
      <c r="D75" s="267"/>
      <c r="E75" s="267"/>
      <c r="F75" s="265"/>
      <c r="G75" s="265"/>
      <c r="H75" s="272"/>
      <c r="I75" s="272"/>
      <c r="J75" s="267"/>
      <c r="K75" s="267"/>
      <c r="L75" s="267"/>
      <c r="M75" s="267"/>
      <c r="N75" s="267"/>
      <c r="O75" s="267"/>
    </row>
    <row r="76" spans="1:18" s="277" customFormat="1" x14ac:dyDescent="0.2">
      <c r="A76" s="274" t="s">
        <v>21</v>
      </c>
      <c r="B76" s="275" t="s">
        <v>289</v>
      </c>
      <c r="C76" s="276"/>
      <c r="E76" s="278"/>
      <c r="F76" s="279"/>
      <c r="G76" s="279"/>
      <c r="H76" s="280"/>
      <c r="I76" s="280"/>
      <c r="P76" s="281"/>
      <c r="Q76" s="281"/>
      <c r="R76" s="281"/>
    </row>
    <row r="77" spans="1:18" s="284" customFormat="1" x14ac:dyDescent="0.2">
      <c r="A77" s="277"/>
      <c r="B77" s="282" t="s">
        <v>8</v>
      </c>
      <c r="C77" s="283" t="s">
        <v>32</v>
      </c>
      <c r="E77" s="164"/>
      <c r="F77" s="265"/>
      <c r="G77" s="265"/>
      <c r="H77" s="285"/>
      <c r="I77" s="285"/>
      <c r="P77" s="234"/>
      <c r="Q77" s="234"/>
      <c r="R77" s="234"/>
    </row>
    <row r="78" spans="1:18" x14ac:dyDescent="0.2">
      <c r="B78" s="273" t="s">
        <v>45</v>
      </c>
      <c r="C78" s="291" t="s">
        <v>46</v>
      </c>
      <c r="D78" s="267"/>
      <c r="E78" s="267"/>
      <c r="F78" s="265"/>
      <c r="G78" s="265"/>
      <c r="H78" s="272"/>
      <c r="I78" s="272"/>
      <c r="J78" s="267"/>
      <c r="K78" s="267"/>
      <c r="L78" s="267"/>
      <c r="M78" s="267"/>
      <c r="N78" s="267"/>
      <c r="O78" s="267"/>
    </row>
    <row r="79" spans="1:18" x14ac:dyDescent="0.2">
      <c r="B79" s="273" t="s">
        <v>17</v>
      </c>
      <c r="C79" s="292">
        <v>600</v>
      </c>
      <c r="D79" s="267"/>
      <c r="E79" s="267"/>
      <c r="F79" s="265"/>
      <c r="G79" s="265"/>
      <c r="H79" s="272"/>
      <c r="I79" s="272"/>
      <c r="J79" s="267"/>
      <c r="K79" s="267"/>
      <c r="L79" s="267"/>
      <c r="M79" s="267"/>
      <c r="N79" s="267"/>
      <c r="O79" s="267"/>
    </row>
    <row r="80" spans="1:18" x14ac:dyDescent="0.2">
      <c r="B80" s="273" t="s">
        <v>34</v>
      </c>
      <c r="C80" s="291" t="s">
        <v>41</v>
      </c>
      <c r="D80" s="267"/>
      <c r="E80" s="267"/>
      <c r="F80" s="265"/>
      <c r="G80" s="265"/>
      <c r="H80" s="272"/>
      <c r="I80" s="272"/>
      <c r="J80" s="267"/>
      <c r="K80" s="267"/>
      <c r="L80" s="267"/>
      <c r="M80" s="267"/>
      <c r="N80" s="267"/>
      <c r="O80" s="267"/>
    </row>
    <row r="81" spans="1:18" x14ac:dyDescent="0.2">
      <c r="B81" s="273" t="s">
        <v>161</v>
      </c>
      <c r="C81" s="292">
        <v>55</v>
      </c>
      <c r="D81" s="267"/>
      <c r="E81" s="267"/>
      <c r="F81" s="265"/>
      <c r="G81" s="265"/>
      <c r="H81" s="272"/>
      <c r="I81" s="272"/>
      <c r="J81" s="267"/>
      <c r="K81" s="267"/>
      <c r="L81" s="267"/>
      <c r="M81" s="267"/>
      <c r="N81" s="267"/>
      <c r="O81" s="267"/>
    </row>
    <row r="82" spans="1:18" s="277" customFormat="1" x14ac:dyDescent="0.2">
      <c r="A82" s="274" t="s">
        <v>21</v>
      </c>
      <c r="B82" s="275" t="s">
        <v>290</v>
      </c>
      <c r="C82" s="276"/>
      <c r="E82" s="278"/>
      <c r="F82" s="279"/>
      <c r="G82" s="279"/>
      <c r="H82" s="280"/>
      <c r="I82" s="280"/>
      <c r="P82" s="281"/>
      <c r="Q82" s="281"/>
      <c r="R82" s="281"/>
    </row>
    <row r="83" spans="1:18" s="284" customFormat="1" x14ac:dyDescent="0.2">
      <c r="A83" s="277"/>
      <c r="B83" s="282" t="s">
        <v>8</v>
      </c>
      <c r="C83" s="283" t="s">
        <v>9</v>
      </c>
      <c r="E83" s="164"/>
      <c r="F83" s="265"/>
      <c r="G83" s="265"/>
      <c r="H83" s="285"/>
      <c r="I83" s="285"/>
      <c r="P83" s="234"/>
      <c r="Q83" s="234"/>
      <c r="R83" s="234"/>
    </row>
    <row r="84" spans="1:18" s="284" customFormat="1" x14ac:dyDescent="0.2">
      <c r="A84" s="277"/>
      <c r="B84" s="282" t="s">
        <v>17</v>
      </c>
      <c r="C84" s="286">
        <v>15</v>
      </c>
      <c r="E84" s="164"/>
      <c r="F84" s="265"/>
      <c r="G84" s="265"/>
      <c r="H84" s="285"/>
      <c r="I84" s="285"/>
      <c r="P84" s="234"/>
      <c r="Q84" s="234"/>
      <c r="R84" s="234"/>
    </row>
    <row r="85" spans="1:18" x14ac:dyDescent="0.2">
      <c r="B85" s="273" t="s">
        <v>145</v>
      </c>
      <c r="C85" s="292">
        <v>122</v>
      </c>
      <c r="D85" s="267"/>
      <c r="E85" s="267"/>
      <c r="F85" s="265"/>
      <c r="G85" s="265"/>
      <c r="H85" s="272"/>
      <c r="I85" s="272"/>
      <c r="J85" s="267"/>
      <c r="K85" s="267"/>
      <c r="L85" s="267"/>
      <c r="M85" s="267"/>
      <c r="N85" s="267"/>
      <c r="O85" s="267"/>
    </row>
    <row r="86" spans="1:18" x14ac:dyDescent="0.2">
      <c r="B86" s="273" t="s">
        <v>146</v>
      </c>
      <c r="C86" s="292">
        <v>122</v>
      </c>
      <c r="D86" s="267"/>
      <c r="E86" s="267"/>
      <c r="F86" s="265"/>
      <c r="G86" s="265"/>
      <c r="H86" s="272"/>
      <c r="I86" s="272"/>
      <c r="J86" s="267"/>
      <c r="K86" s="267"/>
      <c r="L86" s="267"/>
      <c r="M86" s="267"/>
      <c r="N86" s="267"/>
      <c r="O86" s="267"/>
    </row>
    <row r="87" spans="1:18" s="277" customFormat="1" x14ac:dyDescent="0.2">
      <c r="A87" s="274" t="s">
        <v>21</v>
      </c>
      <c r="B87" s="275" t="s">
        <v>291</v>
      </c>
      <c r="C87" s="276"/>
      <c r="E87" s="278"/>
      <c r="F87" s="279"/>
      <c r="G87" s="279"/>
      <c r="H87" s="280"/>
      <c r="I87" s="280"/>
      <c r="P87" s="281"/>
      <c r="Q87" s="281"/>
      <c r="R87" s="281"/>
    </row>
    <row r="88" spans="1:18" s="284" customFormat="1" x14ac:dyDescent="0.2">
      <c r="A88" s="277"/>
      <c r="B88" s="282" t="s">
        <v>8</v>
      </c>
      <c r="C88" s="283" t="s">
        <v>32</v>
      </c>
      <c r="E88" s="164"/>
      <c r="F88" s="265"/>
      <c r="G88" s="265"/>
      <c r="H88" s="285"/>
      <c r="I88" s="285"/>
      <c r="P88" s="234"/>
      <c r="Q88" s="234"/>
      <c r="R88" s="234"/>
    </row>
    <row r="89" spans="1:18" x14ac:dyDescent="0.2">
      <c r="B89" s="273" t="s">
        <v>45</v>
      </c>
      <c r="C89" s="291" t="s">
        <v>46</v>
      </c>
      <c r="D89" s="267"/>
      <c r="E89" s="267"/>
      <c r="F89" s="265"/>
      <c r="G89" s="265"/>
      <c r="H89" s="272"/>
      <c r="I89" s="272"/>
      <c r="J89" s="267"/>
      <c r="K89" s="267"/>
      <c r="L89" s="267"/>
      <c r="M89" s="267"/>
      <c r="N89" s="267"/>
      <c r="O89" s="267"/>
    </row>
    <row r="90" spans="1:18" x14ac:dyDescent="0.2">
      <c r="B90" s="273" t="s">
        <v>17</v>
      </c>
      <c r="C90" s="292">
        <v>600</v>
      </c>
      <c r="D90" s="267"/>
      <c r="E90" s="267"/>
      <c r="F90" s="265"/>
      <c r="G90" s="265"/>
      <c r="H90" s="272"/>
      <c r="I90" s="272"/>
      <c r="J90" s="267"/>
      <c r="K90" s="267"/>
      <c r="L90" s="267"/>
      <c r="M90" s="267"/>
      <c r="N90" s="267"/>
      <c r="O90" s="267"/>
    </row>
    <row r="91" spans="1:18" x14ac:dyDescent="0.2">
      <c r="B91" s="273" t="s">
        <v>34</v>
      </c>
      <c r="C91" s="291" t="s">
        <v>41</v>
      </c>
      <c r="D91" s="267"/>
      <c r="E91" s="267"/>
      <c r="F91" s="265"/>
      <c r="G91" s="265"/>
      <c r="H91" s="272"/>
      <c r="I91" s="272"/>
      <c r="J91" s="267"/>
      <c r="K91" s="267"/>
      <c r="L91" s="267"/>
      <c r="M91" s="267"/>
      <c r="N91" s="267"/>
      <c r="O91" s="267"/>
    </row>
    <row r="92" spans="1:18" x14ac:dyDescent="0.2">
      <c r="B92" s="273" t="s">
        <v>161</v>
      </c>
      <c r="C92" s="292">
        <v>45</v>
      </c>
      <c r="D92" s="267"/>
      <c r="E92" s="267"/>
      <c r="F92" s="265"/>
      <c r="G92" s="265"/>
      <c r="H92" s="272"/>
      <c r="I92" s="272"/>
      <c r="J92" s="267"/>
      <c r="K92" s="267"/>
      <c r="L92" s="267"/>
      <c r="M92" s="267"/>
      <c r="N92" s="267"/>
      <c r="O92" s="267"/>
    </row>
    <row r="93" spans="1:18" s="277" customFormat="1" x14ac:dyDescent="0.2">
      <c r="A93" s="274" t="s">
        <v>21</v>
      </c>
      <c r="B93" s="275" t="s">
        <v>292</v>
      </c>
      <c r="C93" s="276"/>
      <c r="E93" s="278"/>
      <c r="F93" s="279"/>
      <c r="G93" s="279"/>
      <c r="H93" s="280"/>
      <c r="I93" s="280"/>
      <c r="P93" s="281"/>
      <c r="Q93" s="281"/>
      <c r="R93" s="281"/>
    </row>
    <row r="94" spans="1:18" s="284" customFormat="1" x14ac:dyDescent="0.2">
      <c r="A94" s="277"/>
      <c r="B94" s="282" t="s">
        <v>8</v>
      </c>
      <c r="C94" s="283" t="s">
        <v>9</v>
      </c>
      <c r="E94" s="164"/>
      <c r="F94" s="265"/>
      <c r="G94" s="265"/>
      <c r="H94" s="285"/>
      <c r="I94" s="285"/>
      <c r="P94" s="234"/>
      <c r="Q94" s="234"/>
      <c r="R94" s="234"/>
    </row>
    <row r="95" spans="1:18" x14ac:dyDescent="0.2">
      <c r="B95" s="273" t="s">
        <v>17</v>
      </c>
      <c r="C95" s="292">
        <v>300</v>
      </c>
      <c r="D95" s="267"/>
      <c r="E95" s="267"/>
      <c r="F95" s="265"/>
      <c r="G95" s="265"/>
      <c r="H95" s="272"/>
      <c r="I95" s="272"/>
      <c r="J95" s="267"/>
      <c r="K95" s="267"/>
      <c r="L95" s="267"/>
      <c r="M95" s="267"/>
      <c r="N95" s="267"/>
      <c r="O95" s="267"/>
    </row>
    <row r="96" spans="1:18" s="277" customFormat="1" x14ac:dyDescent="0.2">
      <c r="A96" s="274" t="s">
        <v>21</v>
      </c>
      <c r="B96" s="275" t="s">
        <v>293</v>
      </c>
      <c r="C96" s="276"/>
      <c r="E96" s="278"/>
      <c r="F96" s="279"/>
      <c r="G96" s="279"/>
      <c r="H96" s="280"/>
      <c r="I96" s="280"/>
      <c r="P96" s="281"/>
      <c r="Q96" s="281"/>
      <c r="R96" s="281"/>
    </row>
    <row r="97" spans="1:18" s="284" customFormat="1" x14ac:dyDescent="0.2">
      <c r="A97" s="277"/>
      <c r="B97" s="282" t="s">
        <v>8</v>
      </c>
      <c r="C97" s="283" t="s">
        <v>9</v>
      </c>
      <c r="E97" s="164"/>
      <c r="F97" s="265"/>
      <c r="G97" s="265"/>
      <c r="H97" s="285"/>
      <c r="I97" s="285"/>
      <c r="P97" s="234"/>
      <c r="Q97" s="234"/>
      <c r="R97" s="234"/>
    </row>
    <row r="98" spans="1:18" s="284" customFormat="1" x14ac:dyDescent="0.2">
      <c r="A98" s="277"/>
      <c r="B98" s="282" t="s">
        <v>17</v>
      </c>
      <c r="C98" s="286">
        <v>5</v>
      </c>
      <c r="E98" s="164"/>
      <c r="F98" s="265"/>
      <c r="G98" s="265"/>
      <c r="H98" s="285"/>
      <c r="I98" s="285"/>
      <c r="P98" s="234"/>
      <c r="Q98" s="234"/>
      <c r="R98" s="234"/>
    </row>
    <row r="99" spans="1:18" x14ac:dyDescent="0.2">
      <c r="B99" s="273" t="s">
        <v>133</v>
      </c>
      <c r="C99" s="288" t="s">
        <v>90</v>
      </c>
      <c r="D99" s="267"/>
      <c r="E99" s="267"/>
      <c r="F99" s="265"/>
      <c r="G99" s="265"/>
      <c r="H99" s="272"/>
      <c r="I99" s="272"/>
      <c r="J99" s="267"/>
      <c r="K99" s="267"/>
      <c r="L99" s="267"/>
      <c r="M99" s="267"/>
      <c r="N99" s="267"/>
      <c r="O99" s="267"/>
    </row>
    <row r="100" spans="1:18" x14ac:dyDescent="0.2">
      <c r="B100" s="273" t="s">
        <v>136</v>
      </c>
      <c r="C100" s="288">
        <v>1.1000000000000001</v>
      </c>
      <c r="D100" s="267"/>
      <c r="E100" s="267"/>
      <c r="F100" s="265"/>
      <c r="G100" s="265"/>
      <c r="H100" s="272"/>
      <c r="I100" s="272"/>
      <c r="J100" s="267"/>
      <c r="K100" s="267"/>
      <c r="L100" s="267"/>
      <c r="M100" s="267"/>
      <c r="N100" s="267"/>
      <c r="O100" s="267"/>
    </row>
    <row r="101" spans="1:18" x14ac:dyDescent="0.2">
      <c r="B101" s="273" t="s">
        <v>135</v>
      </c>
      <c r="C101" s="288" t="s">
        <v>48</v>
      </c>
      <c r="D101" s="267"/>
      <c r="E101" s="267"/>
      <c r="F101" s="265"/>
      <c r="G101" s="265"/>
      <c r="H101" s="272"/>
      <c r="I101" s="272"/>
      <c r="J101" s="267"/>
      <c r="K101" s="267"/>
      <c r="L101" s="267"/>
      <c r="M101" s="267"/>
      <c r="N101" s="267"/>
      <c r="O101" s="267"/>
    </row>
    <row r="102" spans="1:18" s="277" customFormat="1" x14ac:dyDescent="0.2">
      <c r="A102" s="274" t="s">
        <v>21</v>
      </c>
      <c r="B102" s="275" t="s">
        <v>294</v>
      </c>
      <c r="C102" s="276"/>
      <c r="E102" s="278"/>
      <c r="F102" s="279"/>
      <c r="G102" s="279"/>
      <c r="H102" s="280"/>
      <c r="I102" s="280"/>
      <c r="P102" s="281"/>
      <c r="Q102" s="281"/>
      <c r="R102" s="281"/>
    </row>
    <row r="103" spans="1:18" s="284" customFormat="1" x14ac:dyDescent="0.2">
      <c r="A103" s="277"/>
      <c r="B103" s="282" t="s">
        <v>8</v>
      </c>
      <c r="C103" s="283" t="s">
        <v>9</v>
      </c>
      <c r="E103" s="164"/>
      <c r="F103" s="265"/>
      <c r="G103" s="265"/>
      <c r="H103" s="285"/>
      <c r="I103" s="285"/>
      <c r="P103" s="234"/>
      <c r="Q103" s="234"/>
      <c r="R103" s="234"/>
    </row>
    <row r="104" spans="1:18" s="284" customFormat="1" x14ac:dyDescent="0.2">
      <c r="A104" s="277"/>
      <c r="B104" s="282" t="s">
        <v>17</v>
      </c>
      <c r="C104" s="286">
        <v>30</v>
      </c>
      <c r="E104" s="164"/>
      <c r="F104" s="265"/>
      <c r="G104" s="265"/>
      <c r="H104" s="285"/>
      <c r="I104" s="285"/>
      <c r="P104" s="234"/>
      <c r="Q104" s="234"/>
      <c r="R104" s="234"/>
    </row>
    <row r="105" spans="1:18" x14ac:dyDescent="0.2">
      <c r="B105" s="273" t="s">
        <v>151</v>
      </c>
      <c r="C105" s="292" t="s">
        <v>205</v>
      </c>
      <c r="D105" s="267"/>
      <c r="E105" s="267"/>
      <c r="F105" s="265"/>
      <c r="G105" s="265"/>
      <c r="H105" s="272"/>
      <c r="I105" s="272"/>
      <c r="J105" s="267"/>
      <c r="K105" s="267"/>
      <c r="L105" s="267"/>
      <c r="M105" s="267"/>
      <c r="N105" s="267"/>
      <c r="O105" s="267"/>
    </row>
    <row r="106" spans="1:18" x14ac:dyDescent="0.2">
      <c r="B106" s="273" t="s">
        <v>149</v>
      </c>
      <c r="C106" s="288">
        <v>1</v>
      </c>
      <c r="D106" s="267"/>
      <c r="E106" s="267"/>
      <c r="F106" s="265"/>
      <c r="G106" s="265"/>
      <c r="H106" s="272"/>
      <c r="I106" s="272"/>
      <c r="J106" s="267"/>
      <c r="K106" s="267"/>
      <c r="L106" s="267"/>
      <c r="M106" s="267"/>
      <c r="N106" s="267"/>
      <c r="O106" s="267"/>
    </row>
    <row r="107" spans="1:18" x14ac:dyDescent="0.2">
      <c r="B107" s="273" t="s">
        <v>150</v>
      </c>
      <c r="C107" s="292">
        <v>0.2</v>
      </c>
      <c r="D107" s="267"/>
      <c r="E107" s="267"/>
      <c r="F107" s="265"/>
      <c r="G107" s="265"/>
      <c r="H107" s="272"/>
      <c r="I107" s="272"/>
      <c r="J107" s="267"/>
      <c r="K107" s="267"/>
      <c r="L107" s="267"/>
      <c r="M107" s="267"/>
      <c r="N107" s="267"/>
      <c r="O107" s="267"/>
    </row>
    <row r="108" spans="1:18" x14ac:dyDescent="0.2">
      <c r="B108" s="273" t="s">
        <v>138</v>
      </c>
      <c r="C108" s="292">
        <v>100</v>
      </c>
      <c r="D108" s="267"/>
      <c r="E108" s="267"/>
      <c r="F108" s="265"/>
      <c r="G108" s="265"/>
      <c r="H108" s="272"/>
      <c r="I108" s="272"/>
      <c r="J108" s="267"/>
      <c r="K108" s="267"/>
      <c r="L108" s="267"/>
      <c r="M108" s="267"/>
      <c r="N108" s="267"/>
      <c r="O108" s="267"/>
    </row>
    <row r="109" spans="1:18" x14ac:dyDescent="0.2">
      <c r="B109" s="273" t="s">
        <v>140</v>
      </c>
      <c r="C109" s="287">
        <v>0</v>
      </c>
      <c r="D109" s="267"/>
      <c r="E109" s="267"/>
      <c r="F109" s="265"/>
      <c r="G109" s="265"/>
      <c r="H109" s="272"/>
      <c r="I109" s="272"/>
      <c r="J109" s="267"/>
      <c r="K109" s="267"/>
      <c r="L109" s="267"/>
      <c r="M109" s="267"/>
      <c r="N109" s="267"/>
      <c r="O109" s="267"/>
    </row>
    <row r="110" spans="1:18" x14ac:dyDescent="0.2">
      <c r="B110" s="273" t="s">
        <v>141</v>
      </c>
      <c r="C110" s="288">
        <v>0</v>
      </c>
      <c r="D110" s="267"/>
      <c r="E110" s="267"/>
      <c r="F110" s="265"/>
      <c r="G110" s="265"/>
      <c r="H110" s="272"/>
      <c r="I110" s="272"/>
      <c r="J110" s="267"/>
      <c r="K110" s="267"/>
      <c r="L110" s="267"/>
      <c r="M110" s="267"/>
      <c r="N110" s="267"/>
      <c r="O110" s="267"/>
    </row>
    <row r="111" spans="1:18" x14ac:dyDescent="0.2">
      <c r="B111" s="273" t="s">
        <v>142</v>
      </c>
      <c r="C111" s="288">
        <v>0</v>
      </c>
      <c r="D111" s="267"/>
      <c r="E111" s="267"/>
      <c r="F111" s="265"/>
      <c r="G111" s="265"/>
      <c r="H111" s="272"/>
      <c r="I111" s="272"/>
      <c r="J111" s="267"/>
      <c r="K111" s="267"/>
      <c r="L111" s="267"/>
      <c r="M111" s="267"/>
      <c r="N111" s="267"/>
      <c r="O111" s="267"/>
    </row>
    <row r="112" spans="1:18" x14ac:dyDescent="0.2">
      <c r="C112" s="267"/>
      <c r="D112" s="267"/>
      <c r="E112" s="267"/>
      <c r="F112" s="265"/>
      <c r="G112" s="265"/>
      <c r="H112" s="272"/>
      <c r="I112" s="272"/>
      <c r="J112" s="267"/>
      <c r="K112" s="267"/>
      <c r="L112" s="267"/>
      <c r="M112" s="267"/>
      <c r="N112" s="267"/>
      <c r="O112" s="267"/>
    </row>
    <row r="113" spans="1:18" x14ac:dyDescent="0.2">
      <c r="A113" s="249" t="s">
        <v>30</v>
      </c>
      <c r="B113" s="293" t="s">
        <v>31</v>
      </c>
      <c r="C113" s="268" t="s">
        <v>44</v>
      </c>
      <c r="F113" s="265"/>
      <c r="G113" s="265"/>
    </row>
    <row r="114" spans="1:18" s="284" customFormat="1" x14ac:dyDescent="0.2">
      <c r="A114" s="274" t="s">
        <v>21</v>
      </c>
      <c r="B114" s="294" t="s">
        <v>295</v>
      </c>
      <c r="C114" s="295"/>
      <c r="E114" s="164"/>
      <c r="F114" s="265"/>
      <c r="G114" s="265"/>
      <c r="H114" s="285"/>
      <c r="I114" s="285"/>
      <c r="P114" s="234"/>
      <c r="Q114" s="234"/>
      <c r="R114" s="234"/>
    </row>
    <row r="115" spans="1:18" s="284" customFormat="1" x14ac:dyDescent="0.2">
      <c r="A115" s="277"/>
      <c r="B115" s="296" t="s">
        <v>8</v>
      </c>
      <c r="C115" s="297" t="s">
        <v>9</v>
      </c>
      <c r="E115" s="164"/>
      <c r="F115" s="265"/>
      <c r="G115" s="265"/>
      <c r="H115" s="285"/>
      <c r="I115" s="285"/>
      <c r="P115" s="234"/>
      <c r="Q115" s="234"/>
      <c r="R115" s="234"/>
    </row>
    <row r="116" spans="1:18" s="284" customFormat="1" x14ac:dyDescent="0.2">
      <c r="A116" s="277"/>
      <c r="B116" s="296" t="s">
        <v>17</v>
      </c>
      <c r="C116" s="295">
        <v>180</v>
      </c>
      <c r="E116" s="164"/>
      <c r="F116" s="265"/>
      <c r="G116" s="265"/>
      <c r="H116" s="285"/>
      <c r="I116" s="285"/>
      <c r="P116" s="234"/>
      <c r="Q116" s="234"/>
      <c r="R116" s="234"/>
    </row>
    <row r="117" spans="1:18" s="284" customFormat="1" x14ac:dyDescent="0.2">
      <c r="B117" s="296" t="s">
        <v>149</v>
      </c>
      <c r="C117" s="298">
        <v>0.2</v>
      </c>
      <c r="D117" s="284" t="s">
        <v>210</v>
      </c>
      <c r="E117" s="164"/>
      <c r="F117" s="265"/>
      <c r="G117" s="265"/>
      <c r="H117" s="285"/>
      <c r="I117" s="285"/>
      <c r="P117" s="234"/>
      <c r="Q117" s="234"/>
      <c r="R117" s="234"/>
    </row>
    <row r="118" spans="1:18" s="284" customFormat="1" x14ac:dyDescent="0.2">
      <c r="A118" s="277"/>
      <c r="B118" s="296" t="s">
        <v>150</v>
      </c>
      <c r="C118" s="298">
        <v>0.4</v>
      </c>
      <c r="D118" s="284" t="s">
        <v>210</v>
      </c>
      <c r="E118" s="265"/>
      <c r="F118" s="265"/>
      <c r="G118" s="265"/>
      <c r="H118" s="285"/>
      <c r="I118" s="285"/>
      <c r="P118" s="234"/>
      <c r="Q118" s="234"/>
      <c r="R118" s="234"/>
    </row>
    <row r="119" spans="1:18" x14ac:dyDescent="0.2">
      <c r="B119" s="299"/>
      <c r="C119" s="300"/>
    </row>
    <row r="120" spans="1:18" s="284" customFormat="1" x14ac:dyDescent="0.2">
      <c r="A120" s="274" t="s">
        <v>21</v>
      </c>
      <c r="B120" s="294" t="s">
        <v>296</v>
      </c>
      <c r="C120" s="295"/>
      <c r="E120" s="164"/>
      <c r="F120" s="267"/>
      <c r="G120" s="267"/>
      <c r="H120" s="285"/>
      <c r="I120" s="285"/>
      <c r="P120" s="234"/>
      <c r="Q120" s="234"/>
      <c r="R120" s="234"/>
    </row>
    <row r="121" spans="1:18" s="284" customFormat="1" x14ac:dyDescent="0.2">
      <c r="A121" s="277"/>
      <c r="B121" s="296" t="s">
        <v>8</v>
      </c>
      <c r="C121" s="297" t="s">
        <v>9</v>
      </c>
      <c r="E121" s="164"/>
      <c r="F121" s="164"/>
      <c r="G121" s="164"/>
      <c r="H121" s="285"/>
      <c r="I121" s="285"/>
      <c r="P121" s="234"/>
      <c r="Q121" s="234"/>
      <c r="R121" s="234"/>
    </row>
    <row r="122" spans="1:18" s="284" customFormat="1" x14ac:dyDescent="0.2">
      <c r="A122" s="277"/>
      <c r="B122" s="296" t="s">
        <v>17</v>
      </c>
      <c r="C122" s="295">
        <v>180</v>
      </c>
      <c r="E122" s="164"/>
      <c r="F122" s="164"/>
      <c r="G122" s="164"/>
      <c r="H122" s="285"/>
      <c r="I122" s="285"/>
      <c r="P122" s="234"/>
      <c r="Q122" s="234"/>
      <c r="R122" s="234"/>
    </row>
    <row r="123" spans="1:18" s="284" customFormat="1" x14ac:dyDescent="0.2">
      <c r="B123" s="296" t="s">
        <v>149</v>
      </c>
      <c r="C123" s="298">
        <v>1.2</v>
      </c>
      <c r="D123" s="284" t="s">
        <v>210</v>
      </c>
      <c r="E123" s="164"/>
      <c r="F123" s="164"/>
      <c r="G123" s="164"/>
      <c r="H123" s="285"/>
      <c r="I123" s="285"/>
      <c r="P123" s="234"/>
      <c r="Q123" s="234"/>
      <c r="R123" s="234"/>
    </row>
    <row r="124" spans="1:18" s="284" customFormat="1" x14ac:dyDescent="0.2">
      <c r="A124" s="277"/>
      <c r="B124" s="296" t="s">
        <v>150</v>
      </c>
      <c r="C124" s="298">
        <v>1.2</v>
      </c>
      <c r="D124" s="284" t="s">
        <v>210</v>
      </c>
      <c r="E124" s="164"/>
      <c r="F124" s="164"/>
      <c r="G124" s="164"/>
      <c r="H124" s="285"/>
      <c r="I124" s="285"/>
      <c r="P124" s="234"/>
      <c r="Q124" s="234"/>
      <c r="R124" s="234"/>
    </row>
    <row r="125" spans="1:18" s="284" customFormat="1" x14ac:dyDescent="0.2">
      <c r="A125" s="277"/>
      <c r="B125" s="296"/>
      <c r="C125" s="298"/>
      <c r="E125" s="164"/>
      <c r="F125" s="164"/>
      <c r="G125" s="164"/>
      <c r="H125" s="285"/>
      <c r="I125" s="285"/>
      <c r="P125" s="234"/>
      <c r="Q125" s="234"/>
      <c r="R125" s="234"/>
    </row>
    <row r="126" spans="1:18" s="284" customFormat="1" x14ac:dyDescent="0.2">
      <c r="A126" s="274" t="s">
        <v>21</v>
      </c>
      <c r="B126" s="294" t="s">
        <v>297</v>
      </c>
      <c r="C126" s="295"/>
      <c r="E126" s="164"/>
      <c r="F126" s="267"/>
      <c r="G126" s="267"/>
      <c r="H126" s="285"/>
      <c r="I126" s="285"/>
      <c r="P126" s="234"/>
      <c r="Q126" s="234"/>
      <c r="R126" s="234"/>
    </row>
    <row r="127" spans="1:18" s="284" customFormat="1" x14ac:dyDescent="0.2">
      <c r="A127" s="277"/>
      <c r="B127" s="296" t="s">
        <v>8</v>
      </c>
      <c r="C127" s="297" t="s">
        <v>9</v>
      </c>
      <c r="E127" s="164"/>
      <c r="F127" s="164"/>
      <c r="G127" s="164"/>
      <c r="H127" s="285"/>
      <c r="I127" s="285"/>
      <c r="P127" s="234"/>
      <c r="Q127" s="234"/>
      <c r="R127" s="234"/>
    </row>
    <row r="128" spans="1:18" s="284" customFormat="1" x14ac:dyDescent="0.2">
      <c r="A128" s="277"/>
      <c r="B128" s="296" t="s">
        <v>17</v>
      </c>
      <c r="C128" s="295">
        <v>30</v>
      </c>
      <c r="E128" s="164"/>
      <c r="F128" s="164"/>
      <c r="G128" s="164"/>
      <c r="H128" s="285"/>
      <c r="I128" s="285"/>
      <c r="P128" s="234"/>
      <c r="Q128" s="234"/>
      <c r="R128" s="234"/>
    </row>
    <row r="129" spans="1:20" s="284" customFormat="1" x14ac:dyDescent="0.2">
      <c r="A129" s="277"/>
      <c r="B129" s="293" t="s">
        <v>155</v>
      </c>
      <c r="C129" s="300" t="s">
        <v>24</v>
      </c>
      <c r="E129" s="164"/>
      <c r="F129" s="164"/>
      <c r="G129" s="164"/>
      <c r="H129" s="285"/>
      <c r="I129" s="285"/>
      <c r="P129" s="234"/>
      <c r="Q129" s="234"/>
      <c r="R129" s="234"/>
    </row>
    <row r="130" spans="1:20" s="284" customFormat="1" x14ac:dyDescent="0.2">
      <c r="A130" s="277"/>
      <c r="B130" s="293"/>
      <c r="C130" s="300"/>
      <c r="E130" s="164"/>
      <c r="F130" s="164"/>
      <c r="G130" s="164"/>
      <c r="H130" s="285"/>
      <c r="I130" s="285"/>
      <c r="P130" s="234"/>
      <c r="Q130" s="234"/>
      <c r="R130" s="234"/>
    </row>
    <row r="131" spans="1:20" s="284" customFormat="1" x14ac:dyDescent="0.2">
      <c r="A131" s="274" t="s">
        <v>21</v>
      </c>
      <c r="B131" s="294" t="s">
        <v>298</v>
      </c>
      <c r="C131" s="295"/>
      <c r="E131" s="164"/>
      <c r="F131" s="164"/>
      <c r="G131" s="164"/>
      <c r="H131" s="285"/>
      <c r="I131" s="285"/>
      <c r="P131" s="234"/>
      <c r="Q131" s="234"/>
      <c r="R131" s="234"/>
    </row>
    <row r="132" spans="1:20" s="284" customFormat="1" x14ac:dyDescent="0.2">
      <c r="A132" s="277"/>
      <c r="B132" s="296" t="s">
        <v>8</v>
      </c>
      <c r="C132" s="297" t="s">
        <v>9</v>
      </c>
      <c r="E132" s="164"/>
      <c r="F132" s="164"/>
      <c r="G132" s="164"/>
      <c r="H132" s="285"/>
      <c r="I132" s="285"/>
      <c r="P132" s="234"/>
      <c r="Q132" s="234"/>
      <c r="R132" s="234"/>
    </row>
    <row r="133" spans="1:20" s="284" customFormat="1" x14ac:dyDescent="0.2">
      <c r="A133" s="277"/>
      <c r="B133" s="296" t="s">
        <v>17</v>
      </c>
      <c r="C133" s="295">
        <v>180</v>
      </c>
      <c r="E133" s="164"/>
      <c r="F133" s="164"/>
      <c r="G133" s="164"/>
      <c r="H133" s="285"/>
      <c r="I133" s="285"/>
      <c r="P133" s="234"/>
      <c r="Q133" s="234"/>
      <c r="R133" s="234"/>
    </row>
    <row r="134" spans="1:20" s="284" customFormat="1" x14ac:dyDescent="0.2">
      <c r="A134" s="277"/>
      <c r="B134" s="293" t="s">
        <v>155</v>
      </c>
      <c r="C134" s="300" t="s">
        <v>14</v>
      </c>
      <c r="E134" s="164"/>
      <c r="F134" s="164"/>
      <c r="G134" s="164"/>
      <c r="H134" s="285"/>
      <c r="I134" s="285"/>
      <c r="P134" s="234"/>
      <c r="Q134" s="234"/>
      <c r="R134" s="234"/>
    </row>
    <row r="135" spans="1:20" s="284" customFormat="1" x14ac:dyDescent="0.2">
      <c r="B135" s="296" t="s">
        <v>150</v>
      </c>
      <c r="C135" s="298">
        <v>2.1</v>
      </c>
      <c r="D135" s="284" t="s">
        <v>210</v>
      </c>
      <c r="E135" s="164"/>
      <c r="F135" s="164"/>
      <c r="G135" s="164"/>
      <c r="H135" s="285"/>
      <c r="I135" s="285"/>
      <c r="P135" s="234"/>
      <c r="Q135" s="234"/>
      <c r="R135" s="234"/>
    </row>
    <row r="136" spans="1:20" s="284" customFormat="1" x14ac:dyDescent="0.2">
      <c r="B136" s="296"/>
      <c r="C136" s="298"/>
      <c r="E136" s="164"/>
      <c r="F136" s="164"/>
      <c r="G136" s="164"/>
      <c r="H136" s="285"/>
      <c r="I136" s="285"/>
      <c r="P136" s="234"/>
      <c r="Q136" s="234"/>
      <c r="R136" s="234"/>
    </row>
    <row r="137" spans="1:20" s="284" customFormat="1" x14ac:dyDescent="0.2">
      <c r="A137" s="274" t="s">
        <v>21</v>
      </c>
      <c r="B137" s="294" t="s">
        <v>299</v>
      </c>
      <c r="C137" s="295"/>
      <c r="E137" s="164"/>
      <c r="F137" s="164"/>
      <c r="G137" s="164"/>
      <c r="H137" s="285"/>
      <c r="I137" s="285"/>
      <c r="P137" s="234"/>
      <c r="Q137" s="234"/>
      <c r="R137" s="234"/>
    </row>
    <row r="138" spans="1:20" s="284" customFormat="1" x14ac:dyDescent="0.2">
      <c r="A138" s="274"/>
      <c r="B138" s="296" t="s">
        <v>8</v>
      </c>
      <c r="C138" s="297" t="s">
        <v>9</v>
      </c>
      <c r="E138" s="164"/>
      <c r="F138" s="164"/>
      <c r="G138" s="164"/>
      <c r="H138" s="285"/>
      <c r="I138" s="285"/>
      <c r="P138" s="234"/>
      <c r="Q138" s="234"/>
      <c r="R138" s="234"/>
    </row>
    <row r="139" spans="1:20" s="284" customFormat="1" x14ac:dyDescent="0.2">
      <c r="A139" s="274"/>
      <c r="B139" s="296" t="s">
        <v>17</v>
      </c>
      <c r="C139" s="295">
        <v>30</v>
      </c>
      <c r="E139" s="164"/>
      <c r="F139" s="164"/>
      <c r="G139" s="164"/>
      <c r="H139" s="285"/>
      <c r="I139" s="285"/>
      <c r="P139" s="234"/>
      <c r="Q139" s="234"/>
      <c r="R139" s="234"/>
    </row>
    <row r="140" spans="1:20" s="284" customFormat="1" x14ac:dyDescent="0.2">
      <c r="A140" s="274"/>
      <c r="B140" s="296" t="s">
        <v>149</v>
      </c>
      <c r="C140" s="298">
        <v>1</v>
      </c>
      <c r="D140" s="284" t="s">
        <v>210</v>
      </c>
      <c r="E140" s="164"/>
      <c r="F140" s="164"/>
      <c r="G140" s="164"/>
      <c r="H140" s="285"/>
      <c r="I140" s="285"/>
      <c r="P140" s="234"/>
      <c r="Q140" s="234"/>
      <c r="R140" s="234"/>
    </row>
    <row r="141" spans="1:20" s="284" customFormat="1" x14ac:dyDescent="0.2">
      <c r="A141" s="274"/>
      <c r="B141" s="296" t="s">
        <v>150</v>
      </c>
      <c r="C141" s="298">
        <v>0.2</v>
      </c>
      <c r="D141" s="284" t="s">
        <v>210</v>
      </c>
      <c r="E141" s="164"/>
      <c r="F141" s="164"/>
      <c r="G141" s="164"/>
      <c r="H141" s="285"/>
      <c r="I141" s="285"/>
      <c r="P141" s="234"/>
      <c r="Q141" s="234"/>
      <c r="R141" s="234"/>
    </row>
    <row r="142" spans="1:20" s="284" customFormat="1" x14ac:dyDescent="0.2">
      <c r="A142" s="277"/>
      <c r="C142" s="301"/>
      <c r="E142" s="164"/>
      <c r="F142" s="164"/>
      <c r="G142" s="164"/>
      <c r="H142" s="285"/>
      <c r="I142" s="285"/>
      <c r="P142" s="234"/>
      <c r="Q142" s="234"/>
      <c r="R142" s="234"/>
    </row>
    <row r="143" spans="1:20" s="267" customFormat="1" x14ac:dyDescent="0.2">
      <c r="A143" s="249" t="s">
        <v>30</v>
      </c>
      <c r="B143" s="302" t="s">
        <v>31</v>
      </c>
      <c r="C143" s="303" t="s">
        <v>283</v>
      </c>
      <c r="D143" s="304"/>
      <c r="E143" s="249"/>
      <c r="H143" s="250"/>
      <c r="I143" s="250"/>
      <c r="J143" s="249"/>
      <c r="K143" s="249"/>
      <c r="L143" s="249"/>
      <c r="M143" s="249"/>
      <c r="N143" s="249"/>
      <c r="O143" s="249"/>
      <c r="P143" s="251"/>
      <c r="Q143" s="251"/>
      <c r="R143" s="251"/>
      <c r="S143" s="249"/>
      <c r="T143" s="249"/>
    </row>
    <row r="144" spans="1:20" s="267" customFormat="1" x14ac:dyDescent="0.2">
      <c r="A144" s="249"/>
      <c r="B144" s="302" t="s">
        <v>8</v>
      </c>
      <c r="C144" s="302" t="s">
        <v>9</v>
      </c>
      <c r="D144" s="161"/>
      <c r="E144" s="154"/>
      <c r="H144" s="250"/>
      <c r="I144" s="250"/>
      <c r="J144" s="249"/>
      <c r="K144" s="249"/>
      <c r="L144" s="249"/>
      <c r="M144" s="249"/>
      <c r="N144" s="249"/>
      <c r="O144" s="249"/>
      <c r="P144" s="251"/>
      <c r="Q144" s="251"/>
      <c r="R144" s="251"/>
      <c r="S144" s="249"/>
      <c r="T144" s="249"/>
    </row>
    <row r="145" spans="1:20" s="267" customFormat="1" x14ac:dyDescent="0.2">
      <c r="A145" s="249"/>
      <c r="B145" s="302" t="s">
        <v>17</v>
      </c>
      <c r="C145" s="305">
        <v>2</v>
      </c>
      <c r="D145" s="161"/>
      <c r="E145" s="154"/>
      <c r="H145" s="250"/>
      <c r="I145" s="250"/>
      <c r="J145" s="249"/>
      <c r="K145" s="249"/>
      <c r="L145" s="249"/>
      <c r="M145" s="249"/>
      <c r="N145" s="249"/>
      <c r="O145" s="249"/>
      <c r="P145" s="251"/>
      <c r="Q145" s="251"/>
      <c r="R145" s="251"/>
      <c r="S145" s="249"/>
      <c r="T145" s="249"/>
    </row>
    <row r="146" spans="1:20" s="267" customFormat="1" x14ac:dyDescent="0.2">
      <c r="A146" s="249"/>
      <c r="B146" s="302" t="s">
        <v>262</v>
      </c>
      <c r="C146" s="305" t="s">
        <v>48</v>
      </c>
      <c r="D146" s="161"/>
      <c r="E146" s="154"/>
      <c r="H146" s="250"/>
      <c r="I146" s="250"/>
      <c r="J146" s="249"/>
      <c r="K146" s="249"/>
      <c r="L146" s="249"/>
      <c r="M146" s="249"/>
      <c r="N146" s="249"/>
      <c r="O146" s="249"/>
      <c r="P146" s="251"/>
      <c r="Q146" s="251"/>
      <c r="R146" s="251"/>
      <c r="S146" s="249"/>
      <c r="T146" s="249"/>
    </row>
    <row r="147" spans="1:20" s="267" customFormat="1" x14ac:dyDescent="0.2">
      <c r="A147" s="249"/>
      <c r="B147" s="302"/>
      <c r="C147" s="305"/>
      <c r="D147" s="161"/>
      <c r="E147" s="154"/>
      <c r="H147" s="250"/>
      <c r="I147" s="250"/>
      <c r="J147" s="249"/>
      <c r="K147" s="249"/>
      <c r="L147" s="249"/>
      <c r="M147" s="249"/>
      <c r="N147" s="249"/>
      <c r="O147" s="249"/>
      <c r="P147" s="251"/>
      <c r="Q147" s="251"/>
      <c r="R147" s="251"/>
      <c r="S147" s="249"/>
      <c r="T147" s="249"/>
    </row>
    <row r="148" spans="1:20" s="267" customFormat="1" x14ac:dyDescent="0.2">
      <c r="A148" s="249"/>
      <c r="B148" s="302" t="s">
        <v>8</v>
      </c>
      <c r="C148" s="306" t="s">
        <v>9</v>
      </c>
      <c r="D148" s="161"/>
      <c r="E148" s="154"/>
      <c r="H148" s="250"/>
      <c r="I148" s="250"/>
      <c r="J148" s="249"/>
      <c r="K148" s="249"/>
      <c r="L148" s="249"/>
      <c r="M148" s="249"/>
      <c r="N148" s="249"/>
      <c r="O148" s="249"/>
      <c r="P148" s="251"/>
      <c r="Q148" s="251"/>
      <c r="R148" s="251"/>
      <c r="S148" s="249"/>
      <c r="T148" s="249"/>
    </row>
    <row r="149" spans="1:20" s="267" customFormat="1" x14ac:dyDescent="0.2">
      <c r="A149" s="249"/>
      <c r="B149" s="302" t="s">
        <v>17</v>
      </c>
      <c r="C149" s="305">
        <v>240</v>
      </c>
      <c r="D149" s="161"/>
      <c r="E149" s="154"/>
      <c r="H149" s="250"/>
      <c r="I149" s="250"/>
      <c r="J149" s="249"/>
      <c r="K149" s="249"/>
      <c r="L149" s="249"/>
      <c r="M149" s="249"/>
      <c r="N149" s="249"/>
      <c r="O149" s="249"/>
      <c r="P149" s="251"/>
      <c r="Q149" s="251"/>
      <c r="R149" s="251"/>
      <c r="S149" s="249"/>
      <c r="T149" s="249"/>
    </row>
    <row r="150" spans="1:20" s="267" customFormat="1" x14ac:dyDescent="0.2">
      <c r="A150" s="249"/>
      <c r="B150" s="302" t="s">
        <v>300</v>
      </c>
      <c r="C150" s="305" t="s">
        <v>301</v>
      </c>
      <c r="D150" s="161"/>
      <c r="E150" s="154"/>
      <c r="H150" s="250"/>
      <c r="I150" s="250"/>
      <c r="J150" s="249"/>
      <c r="K150" s="249"/>
      <c r="L150" s="249"/>
      <c r="M150" s="249"/>
      <c r="N150" s="249"/>
      <c r="O150" s="249"/>
      <c r="P150" s="251"/>
      <c r="Q150" s="251"/>
      <c r="R150" s="251"/>
      <c r="S150" s="249"/>
      <c r="T150" s="249"/>
    </row>
    <row r="151" spans="1:20" s="267" customFormat="1" x14ac:dyDescent="0.2">
      <c r="A151" s="249"/>
      <c r="B151" s="302" t="s">
        <v>302</v>
      </c>
      <c r="C151" s="307">
        <v>0.35</v>
      </c>
      <c r="D151" s="161"/>
      <c r="E151" s="154"/>
      <c r="H151" s="250"/>
      <c r="I151" s="250"/>
      <c r="J151" s="249"/>
      <c r="K151" s="249"/>
      <c r="L151" s="249"/>
      <c r="M151" s="249"/>
      <c r="N151" s="249"/>
      <c r="O151" s="249"/>
      <c r="P151" s="251"/>
      <c r="Q151" s="251"/>
      <c r="R151" s="251"/>
      <c r="S151" s="249"/>
      <c r="T151" s="249"/>
    </row>
    <row r="152" spans="1:20" s="267" customFormat="1" x14ac:dyDescent="0.2">
      <c r="A152" s="249"/>
      <c r="B152" s="302" t="s">
        <v>303</v>
      </c>
      <c r="C152" s="305" t="s">
        <v>24</v>
      </c>
      <c r="D152" s="161"/>
      <c r="E152" s="154"/>
      <c r="H152" s="250"/>
      <c r="I152" s="250"/>
      <c r="J152" s="249"/>
      <c r="K152" s="249"/>
      <c r="L152" s="249"/>
      <c r="M152" s="249"/>
      <c r="N152" s="249"/>
      <c r="O152" s="249"/>
      <c r="P152" s="251"/>
      <c r="Q152" s="251"/>
      <c r="R152" s="251"/>
      <c r="S152" s="249"/>
      <c r="T152" s="249"/>
    </row>
    <row r="153" spans="1:20" s="267" customFormat="1" x14ac:dyDescent="0.2">
      <c r="A153" s="249"/>
      <c r="B153" s="302"/>
      <c r="C153" s="305"/>
      <c r="D153" s="161"/>
      <c r="E153" s="154"/>
      <c r="H153" s="250"/>
      <c r="I153" s="250"/>
      <c r="J153" s="249"/>
      <c r="K153" s="249"/>
      <c r="L153" s="249"/>
      <c r="M153" s="249"/>
      <c r="N153" s="249"/>
      <c r="O153" s="249"/>
      <c r="P153" s="251"/>
      <c r="Q153" s="251"/>
      <c r="R153" s="251"/>
      <c r="S153" s="249"/>
      <c r="T153" s="249"/>
    </row>
    <row r="154" spans="1:20" s="267" customFormat="1" ht="12.75" customHeight="1" x14ac:dyDescent="0.2">
      <c r="A154" s="249"/>
      <c r="B154" s="302" t="s">
        <v>8</v>
      </c>
      <c r="C154" s="308" t="s">
        <v>9</v>
      </c>
      <c r="D154" s="161"/>
      <c r="E154" s="154"/>
      <c r="H154" s="250"/>
      <c r="I154" s="250"/>
      <c r="J154" s="249"/>
      <c r="K154" s="249"/>
      <c r="L154" s="249"/>
      <c r="M154" s="249"/>
      <c r="N154" s="249"/>
      <c r="O154" s="249"/>
      <c r="P154" s="251"/>
      <c r="Q154" s="251"/>
      <c r="R154" s="251"/>
      <c r="S154" s="249"/>
      <c r="T154" s="249"/>
    </row>
    <row r="155" spans="1:20" s="267" customFormat="1" ht="12.75" customHeight="1" x14ac:dyDescent="0.2">
      <c r="A155" s="249"/>
      <c r="B155" s="302" t="s">
        <v>17</v>
      </c>
      <c r="C155" s="305">
        <v>60</v>
      </c>
      <c r="D155" s="161"/>
      <c r="E155" s="154"/>
      <c r="H155" s="250"/>
      <c r="I155" s="250"/>
      <c r="J155" s="249"/>
      <c r="K155" s="249"/>
      <c r="L155" s="249"/>
      <c r="M155" s="249"/>
      <c r="N155" s="249"/>
      <c r="O155" s="249"/>
      <c r="P155" s="251"/>
      <c r="Q155" s="251"/>
      <c r="R155" s="251"/>
      <c r="S155" s="249"/>
      <c r="T155" s="249"/>
    </row>
    <row r="156" spans="1:20" s="267" customFormat="1" ht="12" customHeight="1" x14ac:dyDescent="0.2">
      <c r="A156" s="249"/>
      <c r="B156" s="302" t="s">
        <v>25</v>
      </c>
      <c r="C156" s="305">
        <v>1</v>
      </c>
      <c r="D156" s="161"/>
      <c r="E156" s="154"/>
      <c r="H156" s="250"/>
      <c r="I156" s="250"/>
      <c r="J156" s="249"/>
      <c r="K156" s="249"/>
      <c r="L156" s="249"/>
      <c r="M156" s="249"/>
      <c r="N156" s="249"/>
      <c r="O156" s="249"/>
      <c r="P156" s="251"/>
      <c r="Q156" s="251"/>
      <c r="R156" s="251"/>
      <c r="S156" s="249"/>
      <c r="T156" s="249"/>
    </row>
    <row r="157" spans="1:20" ht="12" customHeight="1" x14ac:dyDescent="0.2">
      <c r="B157" s="302" t="s">
        <v>195</v>
      </c>
      <c r="C157" s="305">
        <v>1</v>
      </c>
      <c r="D157" s="161"/>
      <c r="E157" s="154"/>
    </row>
    <row r="158" spans="1:20" ht="12" customHeight="1" x14ac:dyDescent="0.2">
      <c r="B158" s="302"/>
      <c r="C158" s="305"/>
      <c r="D158" s="161"/>
      <c r="E158" s="154"/>
    </row>
    <row r="159" spans="1:20" ht="12" customHeight="1" x14ac:dyDescent="0.2">
      <c r="B159" s="302" t="s">
        <v>8</v>
      </c>
      <c r="C159" s="308" t="s">
        <v>9</v>
      </c>
      <c r="D159" s="161"/>
      <c r="E159" s="154"/>
    </row>
    <row r="160" spans="1:20" ht="12" customHeight="1" x14ac:dyDescent="0.2">
      <c r="B160" s="302" t="s">
        <v>17</v>
      </c>
      <c r="C160" s="305">
        <v>2</v>
      </c>
      <c r="D160" s="161"/>
      <c r="E160" s="154"/>
    </row>
    <row r="161" spans="1:20" ht="12" customHeight="1" x14ac:dyDescent="0.2">
      <c r="B161" s="302" t="s">
        <v>166</v>
      </c>
      <c r="C161" s="305" t="s">
        <v>304</v>
      </c>
      <c r="D161" s="161"/>
      <c r="E161" s="154"/>
    </row>
    <row r="162" spans="1:20" ht="12" customHeight="1" x14ac:dyDescent="0.2">
      <c r="B162" s="302" t="s">
        <v>303</v>
      </c>
      <c r="C162" s="305" t="s">
        <v>14</v>
      </c>
      <c r="D162" s="161"/>
      <c r="E162" s="154"/>
    </row>
    <row r="163" spans="1:20" s="267" customFormat="1" ht="12" customHeight="1" x14ac:dyDescent="0.2">
      <c r="A163" s="249"/>
      <c r="B163" s="302" t="s">
        <v>25</v>
      </c>
      <c r="C163" s="305">
        <v>10</v>
      </c>
      <c r="D163" s="161"/>
      <c r="E163" s="154"/>
      <c r="H163" s="250"/>
      <c r="I163" s="250"/>
      <c r="J163" s="249"/>
      <c r="K163" s="249"/>
      <c r="L163" s="249"/>
      <c r="M163" s="249"/>
      <c r="N163" s="249"/>
      <c r="O163" s="249"/>
      <c r="P163" s="251"/>
      <c r="Q163" s="251"/>
      <c r="R163" s="251"/>
      <c r="S163" s="249"/>
      <c r="T163" s="249"/>
    </row>
    <row r="164" spans="1:20" ht="12" customHeight="1" x14ac:dyDescent="0.2">
      <c r="B164" s="302" t="s">
        <v>195</v>
      </c>
      <c r="C164" s="305">
        <v>10</v>
      </c>
      <c r="D164" s="161"/>
      <c r="E164" s="154"/>
    </row>
    <row r="165" spans="1:20" s="228" customFormat="1" ht="12" customHeight="1" x14ac:dyDescent="0.25">
      <c r="H165" s="231"/>
      <c r="I165" s="231"/>
    </row>
    <row r="166" spans="1:20" s="170" customFormat="1" x14ac:dyDescent="0.2">
      <c r="A166" s="248" t="s">
        <v>30</v>
      </c>
      <c r="B166" s="309" t="s">
        <v>31</v>
      </c>
      <c r="C166" s="310" t="s">
        <v>286</v>
      </c>
      <c r="K166" s="171"/>
      <c r="L166" s="171"/>
    </row>
    <row r="167" spans="1:20" s="170" customFormat="1" x14ac:dyDescent="0.2">
      <c r="A167" s="248"/>
      <c r="B167" s="311" t="s">
        <v>8</v>
      </c>
      <c r="C167" s="311" t="s">
        <v>32</v>
      </c>
      <c r="K167" s="171"/>
      <c r="L167" s="171"/>
    </row>
    <row r="168" spans="1:20" s="170" customFormat="1" x14ac:dyDescent="0.2">
      <c r="A168" s="248"/>
      <c r="B168" s="311" t="s">
        <v>45</v>
      </c>
      <c r="C168" s="311" t="s">
        <v>33</v>
      </c>
      <c r="K168" s="171"/>
      <c r="L168" s="171"/>
    </row>
    <row r="169" spans="1:20" s="170" customFormat="1" x14ac:dyDescent="0.2">
      <c r="B169" s="311" t="s">
        <v>17</v>
      </c>
      <c r="C169" s="311">
        <v>600</v>
      </c>
    </row>
    <row r="170" spans="1:20" s="170" customFormat="1" x14ac:dyDescent="0.2">
      <c r="B170" s="311" t="s">
        <v>34</v>
      </c>
      <c r="C170" s="311" t="s">
        <v>42</v>
      </c>
    </row>
    <row r="171" spans="1:20" s="170" customFormat="1" x14ac:dyDescent="0.2">
      <c r="B171" s="311" t="s">
        <v>305</v>
      </c>
      <c r="C171" s="312" t="s">
        <v>48</v>
      </c>
    </row>
    <row r="172" spans="1:20" s="170" customFormat="1" x14ac:dyDescent="0.2">
      <c r="B172" s="311" t="s">
        <v>34</v>
      </c>
      <c r="C172" s="311" t="s">
        <v>42</v>
      </c>
    </row>
    <row r="173" spans="1:20" s="170" customFormat="1" x14ac:dyDescent="0.2">
      <c r="B173" s="311" t="s">
        <v>306</v>
      </c>
      <c r="C173" s="312" t="s">
        <v>48</v>
      </c>
    </row>
    <row r="174" spans="1:20" s="313" customFormat="1" x14ac:dyDescent="0.2">
      <c r="C174" s="314"/>
    </row>
    <row r="175" spans="1:20" s="316" customFormat="1" x14ac:dyDescent="0.2">
      <c r="A175" s="315" t="s">
        <v>6</v>
      </c>
      <c r="B175" s="170"/>
      <c r="C175" s="170"/>
    </row>
    <row r="176" spans="1:20" s="316" customFormat="1" x14ac:dyDescent="0.2">
      <c r="A176" s="317"/>
      <c r="B176" s="313" t="s">
        <v>8</v>
      </c>
      <c r="C176" s="313" t="s">
        <v>9</v>
      </c>
    </row>
    <row r="177" spans="1:12" s="316" customFormat="1" x14ac:dyDescent="0.2">
      <c r="A177" s="170"/>
      <c r="B177" s="170" t="s">
        <v>273</v>
      </c>
      <c r="C177" s="169" t="s">
        <v>92</v>
      </c>
    </row>
    <row r="178" spans="1:12" s="316" customFormat="1" x14ac:dyDescent="0.2">
      <c r="A178" s="170"/>
      <c r="B178" s="170" t="s">
        <v>274</v>
      </c>
      <c r="C178" s="169" t="s">
        <v>92</v>
      </c>
    </row>
    <row r="179" spans="1:12" s="170" customFormat="1" x14ac:dyDescent="0.2">
      <c r="A179" s="248"/>
      <c r="K179" s="171"/>
      <c r="L179" s="171"/>
    </row>
    <row r="180" spans="1:12" ht="12" customHeight="1" x14ac:dyDescent="0.2">
      <c r="A180" s="249" t="s">
        <v>7</v>
      </c>
    </row>
    <row r="181" spans="1:12" ht="12" customHeight="1" x14ac:dyDescent="0.2"/>
  </sheetData>
  <pageMargins left="0.25" right="0.25" top="1" bottom="0.5" header="0.5" footer="0.32500000000000001"/>
  <pageSetup scale="56" fitToHeight="8" orientation="landscape" horizontalDpi="355" r:id="rId1"/>
  <headerFooter alignWithMargins="0">
    <oddHeader>&amp;C&amp;F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69A-AF1D-4208-A3BA-34998C0E0C29}">
  <sheetPr codeName="Sheet6">
    <tabColor rgb="FFFFFF00"/>
    <pageSetUpPr fitToPage="1"/>
  </sheetPr>
  <dimension ref="A1:S162"/>
  <sheetViews>
    <sheetView topLeftCell="A10" zoomScale="85" zoomScaleNormal="85" zoomScaleSheetLayoutView="70" workbookViewId="0">
      <selection activeCell="C33" sqref="C33"/>
    </sheetView>
  </sheetViews>
  <sheetFormatPr defaultRowHeight="12.75" x14ac:dyDescent="0.2"/>
  <cols>
    <col min="1" max="1" width="11.5703125" style="112" bestFit="1" customWidth="1"/>
    <col min="2" max="2" width="58.85546875" style="133" bestFit="1" customWidth="1"/>
    <col min="3" max="3" width="32.28515625" style="133" bestFit="1" customWidth="1"/>
    <col min="4" max="4" width="7.85546875" style="133" customWidth="1"/>
    <col min="5" max="5" width="18.42578125" style="133" bestFit="1" customWidth="1"/>
    <col min="6" max="6" width="8.42578125" style="125" bestFit="1" customWidth="1"/>
    <col min="7" max="7" width="8.7109375" style="125" bestFit="1" customWidth="1"/>
    <col min="8" max="8" width="9.5703125" style="125" bestFit="1" customWidth="1"/>
    <col min="9" max="9" width="10.5703125" style="125" bestFit="1" customWidth="1"/>
    <col min="10" max="10" width="11.85546875" style="125" bestFit="1" customWidth="1"/>
    <col min="11" max="11" width="9.5703125" style="125" bestFit="1" customWidth="1"/>
    <col min="12" max="12" width="9" style="125" bestFit="1" customWidth="1"/>
    <col min="13" max="13" width="7.5703125" style="133" bestFit="1" customWidth="1"/>
    <col min="14" max="14" width="11" style="133" bestFit="1" customWidth="1"/>
    <col min="15" max="15" width="10.5703125" style="133" bestFit="1" customWidth="1"/>
    <col min="16" max="16" width="8.85546875" style="116" bestFit="1" customWidth="1"/>
    <col min="17" max="17" width="8.7109375" style="116" bestFit="1" customWidth="1"/>
    <col min="18" max="19" width="10" style="116" customWidth="1"/>
    <col min="20" max="16384" width="9.140625" style="133"/>
  </cols>
  <sheetData>
    <row r="1" spans="1:19" s="112" customFormat="1" x14ac:dyDescent="0.2">
      <c r="A1" s="112" t="s">
        <v>3</v>
      </c>
      <c r="B1" s="112" t="s">
        <v>4</v>
      </c>
      <c r="C1" s="133"/>
      <c r="E1" s="133"/>
      <c r="F1" s="125"/>
      <c r="G1" s="125"/>
      <c r="H1" s="125"/>
      <c r="I1" s="125"/>
      <c r="J1" s="125"/>
      <c r="K1" s="125"/>
      <c r="L1" s="125"/>
      <c r="M1" s="133"/>
      <c r="N1" s="133"/>
      <c r="O1" s="133"/>
      <c r="P1" s="116"/>
      <c r="Q1" s="116"/>
      <c r="R1" s="116"/>
      <c r="S1" s="116"/>
    </row>
    <row r="2" spans="1:19" x14ac:dyDescent="0.2">
      <c r="A2" s="112" t="s">
        <v>0</v>
      </c>
      <c r="B2" s="115" t="s">
        <v>1</v>
      </c>
      <c r="C2" s="115" t="s">
        <v>2</v>
      </c>
    </row>
    <row r="4" spans="1:19" x14ac:dyDescent="0.2">
      <c r="A4" s="112" t="s">
        <v>5</v>
      </c>
    </row>
    <row r="5" spans="1:19" x14ac:dyDescent="0.2">
      <c r="B5" s="133" t="s">
        <v>8</v>
      </c>
      <c r="C5" s="133" t="s">
        <v>9</v>
      </c>
    </row>
    <row r="6" spans="1:19" x14ac:dyDescent="0.2">
      <c r="B6" s="133" t="s">
        <v>17</v>
      </c>
      <c r="C6" s="134">
        <v>2</v>
      </c>
    </row>
    <row r="7" spans="1:19" x14ac:dyDescent="0.2">
      <c r="B7" s="133" t="s">
        <v>166</v>
      </c>
      <c r="C7" s="134" t="s">
        <v>5</v>
      </c>
    </row>
    <row r="8" spans="1:19" x14ac:dyDescent="0.2">
      <c r="B8" s="133" t="s">
        <v>135</v>
      </c>
      <c r="C8" s="134" t="s">
        <v>48</v>
      </c>
    </row>
    <row r="9" spans="1:19" x14ac:dyDescent="0.2">
      <c r="B9" s="133" t="s">
        <v>133</v>
      </c>
      <c r="C9" s="134" t="s">
        <v>90</v>
      </c>
    </row>
    <row r="10" spans="1:19" x14ac:dyDescent="0.2">
      <c r="B10" s="133" t="s">
        <v>136</v>
      </c>
      <c r="C10" s="135">
        <v>1.1000000000000001</v>
      </c>
    </row>
    <row r="11" spans="1:19" x14ac:dyDescent="0.2">
      <c r="B11" s="133" t="s">
        <v>137</v>
      </c>
      <c r="C11" s="136">
        <v>0</v>
      </c>
    </row>
    <row r="12" spans="1:19" x14ac:dyDescent="0.2">
      <c r="C12" s="135"/>
    </row>
    <row r="13" spans="1:19" x14ac:dyDescent="0.2">
      <c r="B13" s="133" t="s">
        <v>167</v>
      </c>
      <c r="C13" s="153">
        <v>100</v>
      </c>
      <c r="L13" s="133"/>
      <c r="O13" s="116"/>
      <c r="Q13" s="133"/>
      <c r="R13" s="133"/>
      <c r="S13" s="133"/>
    </row>
    <row r="14" spans="1:19" x14ac:dyDescent="0.2">
      <c r="B14" s="133" t="s">
        <v>139</v>
      </c>
      <c r="C14" s="134">
        <v>0</v>
      </c>
    </row>
    <row r="15" spans="1:19" s="125" customFormat="1" x14ac:dyDescent="0.2">
      <c r="A15" s="137"/>
      <c r="B15" s="125" t="s">
        <v>138</v>
      </c>
      <c r="C15" s="138">
        <v>0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</row>
    <row r="16" spans="1:19" x14ac:dyDescent="0.2">
      <c r="B16" s="133" t="s">
        <v>149</v>
      </c>
      <c r="C16" s="134">
        <v>0</v>
      </c>
    </row>
    <row r="17" spans="1:19" x14ac:dyDescent="0.2">
      <c r="B17" s="133" t="s">
        <v>150</v>
      </c>
      <c r="C17" s="134">
        <v>0</v>
      </c>
    </row>
    <row r="18" spans="1:19" x14ac:dyDescent="0.2">
      <c r="A18" s="133"/>
      <c r="B18" s="133" t="s">
        <v>151</v>
      </c>
      <c r="C18" s="134" t="s">
        <v>227</v>
      </c>
      <c r="D18" s="115" t="s">
        <v>220</v>
      </c>
      <c r="F18" s="133"/>
      <c r="G18" s="133"/>
      <c r="H18" s="133"/>
      <c r="I18" s="133"/>
      <c r="J18" s="133"/>
      <c r="K18" s="133"/>
      <c r="L18" s="133"/>
      <c r="P18" s="133"/>
      <c r="Q18" s="133"/>
      <c r="R18" s="133"/>
      <c r="S18" s="133"/>
    </row>
    <row r="19" spans="1:19" x14ac:dyDescent="0.2">
      <c r="A19" s="133"/>
      <c r="C19" s="134"/>
      <c r="D19" s="115"/>
      <c r="F19" s="133"/>
      <c r="G19" s="133"/>
      <c r="H19" s="133"/>
      <c r="I19" s="133"/>
      <c r="J19" s="133"/>
      <c r="K19" s="133"/>
      <c r="L19" s="133"/>
      <c r="P19" s="133"/>
      <c r="Q19" s="133"/>
      <c r="R19" s="133"/>
      <c r="S19" s="133"/>
    </row>
    <row r="20" spans="1:19" x14ac:dyDescent="0.2">
      <c r="A20" s="133"/>
      <c r="B20" s="139" t="s">
        <v>152</v>
      </c>
      <c r="C20" s="138" t="s">
        <v>48</v>
      </c>
      <c r="D20" s="115"/>
      <c r="P20" s="133"/>
      <c r="Q20" s="133"/>
      <c r="R20" s="133"/>
      <c r="S20" s="133"/>
    </row>
    <row r="21" spans="1:19" x14ac:dyDescent="0.2">
      <c r="A21" s="133"/>
      <c r="B21" s="139" t="s">
        <v>153</v>
      </c>
      <c r="C21" s="134" t="s">
        <v>92</v>
      </c>
      <c r="D21" s="140" t="s">
        <v>307</v>
      </c>
      <c r="P21" s="133"/>
      <c r="Q21" s="133"/>
      <c r="R21" s="133"/>
      <c r="S21" s="133"/>
    </row>
    <row r="22" spans="1:19" s="154" customFormat="1" x14ac:dyDescent="0.2">
      <c r="A22" s="187"/>
      <c r="B22" s="160" t="s">
        <v>178</v>
      </c>
      <c r="C22" s="138" t="s">
        <v>92</v>
      </c>
      <c r="D22" s="161" t="s">
        <v>179</v>
      </c>
      <c r="L22" s="188"/>
      <c r="M22" s="188"/>
      <c r="N22" s="188"/>
    </row>
    <row r="23" spans="1:19" x14ac:dyDescent="0.2">
      <c r="A23" s="133"/>
      <c r="B23" s="133" t="s">
        <v>154</v>
      </c>
      <c r="C23" s="134" t="s">
        <v>48</v>
      </c>
      <c r="D23" s="115"/>
      <c r="P23" s="133"/>
      <c r="Q23" s="133"/>
      <c r="R23" s="133"/>
      <c r="S23" s="133"/>
    </row>
    <row r="24" spans="1:19" x14ac:dyDescent="0.2">
      <c r="A24" s="133"/>
      <c r="B24" s="133" t="s">
        <v>155</v>
      </c>
      <c r="C24" s="134" t="s">
        <v>48</v>
      </c>
      <c r="D24" s="115"/>
      <c r="P24" s="133"/>
      <c r="Q24" s="133"/>
      <c r="R24" s="133"/>
      <c r="S24" s="133"/>
    </row>
    <row r="25" spans="1:19" x14ac:dyDescent="0.2">
      <c r="A25" s="133"/>
      <c r="C25" s="134"/>
      <c r="D25" s="115"/>
      <c r="P25" s="133"/>
      <c r="Q25" s="133"/>
      <c r="R25" s="133"/>
      <c r="S25" s="133"/>
    </row>
    <row r="26" spans="1:19" x14ac:dyDescent="0.2">
      <c r="A26" s="133"/>
      <c r="B26" s="133" t="s">
        <v>16</v>
      </c>
      <c r="C26" s="134" t="s">
        <v>24</v>
      </c>
      <c r="D26" s="115"/>
      <c r="E26" s="115"/>
      <c r="P26" s="133"/>
      <c r="Q26" s="133"/>
      <c r="R26" s="133"/>
      <c r="S26" s="133"/>
    </row>
    <row r="27" spans="1:19" x14ac:dyDescent="0.2">
      <c r="A27" s="133"/>
      <c r="B27" s="133" t="s">
        <v>25</v>
      </c>
      <c r="C27" s="134">
        <v>30</v>
      </c>
      <c r="D27" s="115"/>
      <c r="P27" s="133"/>
      <c r="Q27" s="133"/>
      <c r="R27" s="133"/>
      <c r="S27" s="133"/>
    </row>
    <row r="28" spans="1:19" x14ac:dyDescent="0.2">
      <c r="A28" s="133"/>
      <c r="B28" s="133" t="s">
        <v>195</v>
      </c>
      <c r="C28" s="134">
        <v>30</v>
      </c>
      <c r="D28" s="115"/>
      <c r="M28" s="125"/>
      <c r="P28" s="133"/>
      <c r="Q28" s="133"/>
      <c r="R28" s="133"/>
      <c r="S28" s="133"/>
    </row>
    <row r="29" spans="1:19" x14ac:dyDescent="0.2">
      <c r="A29" s="133"/>
      <c r="B29" s="133" t="s">
        <v>190</v>
      </c>
      <c r="C29" s="134">
        <v>1</v>
      </c>
      <c r="D29" s="115"/>
      <c r="M29" s="125"/>
      <c r="P29" s="133"/>
      <c r="Q29" s="133"/>
      <c r="R29" s="133"/>
      <c r="S29" s="133"/>
    </row>
    <row r="30" spans="1:19" x14ac:dyDescent="0.2">
      <c r="A30" s="133"/>
      <c r="C30" s="134"/>
      <c r="P30" s="133"/>
      <c r="Q30" s="133"/>
      <c r="R30" s="133"/>
      <c r="S30" s="133"/>
    </row>
    <row r="31" spans="1:19" x14ac:dyDescent="0.2">
      <c r="A31" s="133"/>
      <c r="B31" s="133" t="s">
        <v>157</v>
      </c>
      <c r="C31" s="135">
        <v>-0.1</v>
      </c>
      <c r="F31" s="133"/>
      <c r="G31" s="133"/>
      <c r="H31" s="133"/>
      <c r="I31" s="133"/>
      <c r="J31" s="133"/>
      <c r="K31" s="133"/>
      <c r="L31" s="133"/>
      <c r="P31" s="133"/>
      <c r="Q31" s="133"/>
      <c r="R31" s="133"/>
      <c r="S31" s="133"/>
    </row>
    <row r="32" spans="1:19" x14ac:dyDescent="0.2">
      <c r="A32" s="133"/>
      <c r="B32" s="133" t="s">
        <v>156</v>
      </c>
      <c r="C32" s="135" t="s">
        <v>92</v>
      </c>
      <c r="F32" s="133"/>
      <c r="G32" s="133"/>
      <c r="H32" s="133"/>
      <c r="I32" s="133"/>
      <c r="J32" s="133"/>
      <c r="K32" s="133"/>
      <c r="L32" s="133"/>
      <c r="P32" s="133"/>
      <c r="Q32" s="133"/>
      <c r="R32" s="133"/>
      <c r="S32" s="133"/>
    </row>
    <row r="33" spans="1:19" x14ac:dyDescent="0.2">
      <c r="A33" s="133"/>
      <c r="B33" s="133" t="s">
        <v>158</v>
      </c>
      <c r="C33" s="134" t="s">
        <v>92</v>
      </c>
      <c r="P33" s="133"/>
      <c r="Q33" s="133"/>
      <c r="R33" s="133"/>
      <c r="S33" s="133"/>
    </row>
    <row r="34" spans="1:19" x14ac:dyDescent="0.2">
      <c r="B34" s="139"/>
      <c r="C34" s="134"/>
      <c r="P34" s="133"/>
    </row>
    <row r="35" spans="1:19" s="119" customFormat="1" ht="51" x14ac:dyDescent="0.2">
      <c r="A35" s="119" t="s">
        <v>15</v>
      </c>
      <c r="B35" s="119" t="s">
        <v>10</v>
      </c>
      <c r="C35" s="141" t="s">
        <v>11</v>
      </c>
      <c r="D35" s="118" t="s">
        <v>12</v>
      </c>
      <c r="E35" s="116" t="s">
        <v>27</v>
      </c>
      <c r="F35" s="142" t="s">
        <v>133</v>
      </c>
      <c r="G35" s="117" t="s">
        <v>135</v>
      </c>
      <c r="H35" s="142" t="s">
        <v>136</v>
      </c>
      <c r="I35" s="142" t="s">
        <v>137</v>
      </c>
      <c r="J35" s="142" t="s">
        <v>140</v>
      </c>
      <c r="K35" s="142" t="s">
        <v>141</v>
      </c>
      <c r="L35" s="142" t="s">
        <v>142</v>
      </c>
      <c r="M35" s="141" t="s">
        <v>143</v>
      </c>
      <c r="N35" s="141" t="s">
        <v>145</v>
      </c>
      <c r="O35" s="141" t="s">
        <v>146</v>
      </c>
      <c r="P35" s="141" t="s">
        <v>147</v>
      </c>
      <c r="Q35" s="141" t="s">
        <v>148</v>
      </c>
      <c r="R35" s="141" t="s">
        <v>25</v>
      </c>
      <c r="S35" s="141" t="s">
        <v>195</v>
      </c>
    </row>
    <row r="36" spans="1:19" s="146" customFormat="1" ht="26.25" x14ac:dyDescent="0.25">
      <c r="A36" s="144" t="s">
        <v>21</v>
      </c>
      <c r="B36" s="145" t="s">
        <v>308</v>
      </c>
      <c r="C36" s="123" t="s">
        <v>13</v>
      </c>
      <c r="D36" s="123" t="s">
        <v>13</v>
      </c>
      <c r="E36" s="123" t="s">
        <v>28</v>
      </c>
      <c r="F36" s="124" t="s">
        <v>85</v>
      </c>
      <c r="G36" s="124" t="s">
        <v>26</v>
      </c>
      <c r="H36" s="124" t="s">
        <v>18</v>
      </c>
      <c r="I36" s="124" t="s">
        <v>20</v>
      </c>
      <c r="J36" s="124" t="s">
        <v>37</v>
      </c>
      <c r="K36" s="124"/>
      <c r="L36" s="124"/>
      <c r="M36" s="123" t="s">
        <v>59</v>
      </c>
      <c r="N36" s="123" t="s">
        <v>22</v>
      </c>
      <c r="O36" s="123" t="s">
        <v>22</v>
      </c>
      <c r="P36" s="123" t="s">
        <v>23</v>
      </c>
      <c r="Q36" s="123" t="s">
        <v>23</v>
      </c>
      <c r="R36" s="123"/>
      <c r="S36" s="123"/>
    </row>
    <row r="37" spans="1:19" ht="13.5" x14ac:dyDescent="0.25">
      <c r="A37" s="144"/>
      <c r="B37" s="193" t="s">
        <v>309</v>
      </c>
      <c r="C37" s="117">
        <v>300</v>
      </c>
      <c r="D37" s="117">
        <v>10</v>
      </c>
      <c r="E37" s="159"/>
      <c r="F37" s="117" t="s">
        <v>90</v>
      </c>
      <c r="G37" s="186" t="s">
        <v>24</v>
      </c>
      <c r="H37" s="318">
        <v>0.85</v>
      </c>
      <c r="I37" s="190">
        <v>0.1</v>
      </c>
      <c r="J37" s="190">
        <f>I37</f>
        <v>0.1</v>
      </c>
      <c r="K37" s="190">
        <v>6</v>
      </c>
      <c r="L37" s="190">
        <v>3.5</v>
      </c>
      <c r="M37" s="117">
        <v>60</v>
      </c>
      <c r="N37" s="117">
        <v>35</v>
      </c>
      <c r="O37" s="117">
        <v>35</v>
      </c>
      <c r="P37" s="117">
        <v>120</v>
      </c>
      <c r="Q37" s="117">
        <v>110</v>
      </c>
      <c r="R37" s="117">
        <v>15</v>
      </c>
      <c r="S37" s="117">
        <v>15</v>
      </c>
    </row>
    <row r="38" spans="1:19" ht="13.5" x14ac:dyDescent="0.25">
      <c r="A38" s="144"/>
      <c r="B38" s="193" t="s">
        <v>310</v>
      </c>
      <c r="C38" s="117">
        <v>120</v>
      </c>
      <c r="D38" s="117">
        <v>10</v>
      </c>
      <c r="E38" s="319" t="s">
        <v>311</v>
      </c>
      <c r="F38" s="117" t="s">
        <v>90</v>
      </c>
      <c r="G38" s="186" t="s">
        <v>24</v>
      </c>
      <c r="H38" s="318">
        <v>0.85</v>
      </c>
      <c r="I38" s="190">
        <v>0.1</v>
      </c>
      <c r="J38" s="190">
        <f>I38</f>
        <v>0.1</v>
      </c>
      <c r="K38" s="190">
        <v>6</v>
      </c>
      <c r="L38" s="190">
        <v>0</v>
      </c>
      <c r="M38" s="117">
        <v>60</v>
      </c>
      <c r="N38" s="117">
        <v>35</v>
      </c>
      <c r="O38" s="117">
        <v>35</v>
      </c>
      <c r="P38" s="117">
        <v>120</v>
      </c>
      <c r="Q38" s="117">
        <v>110</v>
      </c>
      <c r="R38" s="117">
        <v>1</v>
      </c>
      <c r="S38" s="117">
        <v>1</v>
      </c>
    </row>
    <row r="39" spans="1:19" ht="15.75" x14ac:dyDescent="0.25">
      <c r="A39" s="144" t="s">
        <v>21</v>
      </c>
      <c r="B39" s="145" t="s">
        <v>312</v>
      </c>
      <c r="C39" s="117"/>
      <c r="D39" s="117"/>
      <c r="E39" s="159"/>
      <c r="F39" s="117"/>
      <c r="G39" s="186"/>
      <c r="H39" s="318"/>
      <c r="I39" s="190"/>
      <c r="J39" s="190"/>
      <c r="K39" s="190"/>
      <c r="L39" s="190"/>
      <c r="M39" s="117"/>
      <c r="N39" s="117"/>
      <c r="O39" s="117"/>
      <c r="P39" s="117"/>
      <c r="Q39" s="117"/>
      <c r="R39" s="117"/>
      <c r="S39" s="117"/>
    </row>
    <row r="40" spans="1:19" ht="13.5" x14ac:dyDescent="0.25">
      <c r="A40" s="144"/>
      <c r="B40" s="320" t="str">
        <f>"RH Sweep - "&amp;FIXED(I40,2)&amp;" A/cm² - "&amp;FIXED(M40,0)&amp;"C - "&amp;FIXED(N40,0)&amp;"/"&amp;FIXED(O40,0)&amp;" %RH - "&amp;FIXED(P40,0)&amp;"\"&amp;FIXED(Q40,0)&amp;" kPa - Stabilize"</f>
        <v>RH Sweep - 0.10 A/cm² - 60C - 35/35 %RH - 120\110 kPa - Stabilize</v>
      </c>
      <c r="C40" s="117">
        <v>30</v>
      </c>
      <c r="D40" s="117">
        <v>30</v>
      </c>
      <c r="E40" s="200" t="s">
        <v>104</v>
      </c>
      <c r="F40" s="117" t="s">
        <v>121</v>
      </c>
      <c r="G40" s="186" t="s">
        <v>24</v>
      </c>
      <c r="H40" s="318">
        <v>1.1000000000000001</v>
      </c>
      <c r="I40" s="190">
        <v>0.1</v>
      </c>
      <c r="J40" s="190">
        <f t="shared" ref="J40:J68" si="0">I40</f>
        <v>0.1</v>
      </c>
      <c r="K40" s="190">
        <v>6</v>
      </c>
      <c r="L40" s="190">
        <v>3.5</v>
      </c>
      <c r="M40" s="117">
        <v>60</v>
      </c>
      <c r="N40" s="117">
        <v>35</v>
      </c>
      <c r="O40" s="117">
        <v>35</v>
      </c>
      <c r="P40" s="117">
        <v>120</v>
      </c>
      <c r="Q40" s="117">
        <v>110</v>
      </c>
      <c r="R40" s="117">
        <v>15</v>
      </c>
      <c r="S40" s="117">
        <v>15</v>
      </c>
    </row>
    <row r="41" spans="1:19" ht="13.5" x14ac:dyDescent="0.25">
      <c r="A41" s="144"/>
      <c r="B41" s="320" t="str">
        <f>"RH Sweep - "&amp;FIXED(I41,2)&amp;" A/cm² - "&amp;FIXED(M41,0)&amp;"C - "&amp;FIXED(N41,0)&amp;"/"&amp;FIXED(O41,0)&amp;" %RH - "&amp;FIXED(P41,0)&amp;"\"&amp;FIXED(Q41,0)&amp;" kPa"</f>
        <v>RH Sweep - 0.10 A/cm² - 60C - 35/35 %RH - 120\110 kPa</v>
      </c>
      <c r="C41" s="117">
        <v>2</v>
      </c>
      <c r="D41" s="117">
        <v>0</v>
      </c>
      <c r="E41" s="321" t="s">
        <v>313</v>
      </c>
      <c r="F41" s="117"/>
      <c r="G41" s="186"/>
      <c r="H41" s="318"/>
      <c r="I41" s="190">
        <v>0.1</v>
      </c>
      <c r="J41" s="190">
        <f t="shared" si="0"/>
        <v>0.1</v>
      </c>
      <c r="K41" s="190">
        <v>6</v>
      </c>
      <c r="L41" s="190">
        <v>3.5</v>
      </c>
      <c r="M41" s="117">
        <v>60</v>
      </c>
      <c r="N41" s="117">
        <v>35</v>
      </c>
      <c r="O41" s="117">
        <v>35</v>
      </c>
      <c r="P41" s="117">
        <v>120</v>
      </c>
      <c r="Q41" s="117">
        <v>110</v>
      </c>
      <c r="R41" s="117">
        <v>15</v>
      </c>
      <c r="S41" s="117">
        <v>15</v>
      </c>
    </row>
    <row r="42" spans="1:19" ht="13.5" x14ac:dyDescent="0.25">
      <c r="A42" s="144"/>
      <c r="B42" s="193" t="str">
        <f>"RH Sweep - "&amp;FIXED(I42,2)&amp;" A/cm² - "&amp;FIXED(M42,0)&amp;"C - "&amp;FIXED(N42,0)&amp;"/"&amp;FIXED(O42,0)&amp;" %RH - "&amp;FIXED(P42,0)&amp;"\"&amp;FIXED(Q42,0)&amp;" kPa - Ramp HCD"</f>
        <v>RH Sweep - 0.10 A/cm² - 60C - 35/35 %RH - 190\190 kPa - Ramp HCD</v>
      </c>
      <c r="C42" s="117">
        <v>60</v>
      </c>
      <c r="D42" s="117">
        <v>30</v>
      </c>
      <c r="E42" s="322" t="s">
        <v>314</v>
      </c>
      <c r="F42" s="117"/>
      <c r="G42" s="186"/>
      <c r="H42" s="318"/>
      <c r="I42" s="190">
        <f>I41</f>
        <v>0.1</v>
      </c>
      <c r="J42" s="190">
        <f>J43</f>
        <v>1.5</v>
      </c>
      <c r="K42" s="190">
        <v>2</v>
      </c>
      <c r="L42" s="190">
        <v>1.6</v>
      </c>
      <c r="M42" s="117">
        <v>60</v>
      </c>
      <c r="N42" s="117">
        <v>35</v>
      </c>
      <c r="O42" s="117">
        <v>35</v>
      </c>
      <c r="P42" s="117">
        <v>190</v>
      </c>
      <c r="Q42" s="117">
        <v>190</v>
      </c>
      <c r="R42" s="117">
        <v>2</v>
      </c>
      <c r="S42" s="117">
        <v>2</v>
      </c>
    </row>
    <row r="43" spans="1:19" ht="13.5" x14ac:dyDescent="0.25">
      <c r="A43" s="144"/>
      <c r="B43" s="193" t="str">
        <f>"RH Sweep - "&amp;FIXED(I43,2)&amp;" A/cm² - "&amp;FIXED(M43,0)&amp;"C - "&amp;FIXED(N43,0)&amp;"/"&amp;FIXED(O43,0)&amp;" %RH - "&amp;FIXED(P43,0)&amp;"\"&amp;FIXED(Q43,0)&amp;" kPa - Stabilize"</f>
        <v>RH Sweep - 1.50 A/cm² - 60C - 35/35 %RH - 230\190 kPa - Stabilize</v>
      </c>
      <c r="C43" s="117">
        <v>2</v>
      </c>
      <c r="D43" s="117">
        <v>0</v>
      </c>
      <c r="E43" s="200" t="s">
        <v>104</v>
      </c>
      <c r="F43" s="117"/>
      <c r="G43" s="186"/>
      <c r="H43" s="318"/>
      <c r="I43" s="190">
        <v>1.5</v>
      </c>
      <c r="J43" s="190">
        <f t="shared" si="0"/>
        <v>1.5</v>
      </c>
      <c r="K43" s="190">
        <v>2</v>
      </c>
      <c r="L43" s="190">
        <v>1.6</v>
      </c>
      <c r="M43" s="117">
        <v>60</v>
      </c>
      <c r="N43" s="117">
        <v>35</v>
      </c>
      <c r="O43" s="117">
        <v>35</v>
      </c>
      <c r="P43" s="117">
        <v>230</v>
      </c>
      <c r="Q43" s="117">
        <v>190</v>
      </c>
      <c r="R43" s="117">
        <v>15</v>
      </c>
      <c r="S43" s="117">
        <v>15</v>
      </c>
    </row>
    <row r="44" spans="1:19" ht="13.5" x14ac:dyDescent="0.25">
      <c r="A44" s="144"/>
      <c r="B44" s="193" t="str">
        <f>"RH Sweep - "&amp;FIXED(I44,2)&amp;" A/cm² - "&amp;FIXED(M44,0)&amp;"C - "&amp;FIXED(N44,0)&amp;"/"&amp;FIXED(O44,0)&amp;" %RH - "&amp;FIXED(P44,0)&amp;"\"&amp;FIXED(Q44,0)&amp;" kPa"</f>
        <v>RH Sweep - 1.50 A/cm² - 60C - 35/35 %RH - 230\190 kPa</v>
      </c>
      <c r="C44" s="117">
        <v>2</v>
      </c>
      <c r="D44" s="117">
        <v>0</v>
      </c>
      <c r="E44" s="321" t="s">
        <v>313</v>
      </c>
      <c r="F44" s="117"/>
      <c r="G44" s="186"/>
      <c r="H44" s="318"/>
      <c r="I44" s="190">
        <v>1.5</v>
      </c>
      <c r="J44" s="190">
        <f t="shared" si="0"/>
        <v>1.5</v>
      </c>
      <c r="K44" s="190">
        <v>2</v>
      </c>
      <c r="L44" s="190">
        <v>1.6</v>
      </c>
      <c r="M44" s="117">
        <v>60</v>
      </c>
      <c r="N44" s="117">
        <v>35</v>
      </c>
      <c r="O44" s="117">
        <v>35</v>
      </c>
      <c r="P44" s="117">
        <v>230</v>
      </c>
      <c r="Q44" s="117">
        <v>190</v>
      </c>
      <c r="R44" s="117">
        <v>15</v>
      </c>
      <c r="S44" s="117">
        <v>15</v>
      </c>
    </row>
    <row r="45" spans="1:19" ht="13.5" x14ac:dyDescent="0.25">
      <c r="A45" s="144"/>
      <c r="B45" s="320" t="str">
        <f>"RH Sweep - "&amp;FIXED(I45,2)&amp;" A/cm² - "&amp;FIXED(M45,0)&amp;"C - "&amp;FIXED(N45,0)&amp;"/"&amp;FIXED(O45,0)&amp;" %RH - "&amp;FIXED(P45,0)&amp;"\"&amp;FIXED(Q45,0)&amp;" kPa - Ramp LCD"</f>
        <v>RH Sweep - 0.10 A/cm² - 60C - 35/50 %RH - 230\190 kPa - Ramp LCD</v>
      </c>
      <c r="C45" s="117">
        <v>15</v>
      </c>
      <c r="D45" s="117">
        <v>10</v>
      </c>
      <c r="E45" s="159"/>
      <c r="F45" s="117"/>
      <c r="G45" s="186"/>
      <c r="H45" s="318"/>
      <c r="I45" s="190">
        <f>I46</f>
        <v>0.1</v>
      </c>
      <c r="J45" s="190">
        <f>J44</f>
        <v>1.5</v>
      </c>
      <c r="K45" s="190">
        <f>K44</f>
        <v>2</v>
      </c>
      <c r="L45" s="190">
        <f>L44</f>
        <v>1.6</v>
      </c>
      <c r="M45" s="117">
        <v>60</v>
      </c>
      <c r="N45" s="117">
        <v>35</v>
      </c>
      <c r="O45" s="117">
        <f>O46</f>
        <v>50</v>
      </c>
      <c r="P45" s="117">
        <f>P44</f>
        <v>230</v>
      </c>
      <c r="Q45" s="117">
        <f>Q44</f>
        <v>190</v>
      </c>
      <c r="R45" s="117">
        <v>2</v>
      </c>
      <c r="S45" s="117">
        <v>2</v>
      </c>
    </row>
    <row r="46" spans="1:19" ht="13.5" x14ac:dyDescent="0.25">
      <c r="A46" s="144"/>
      <c r="B46" s="320" t="str">
        <f>"RH Sweep - "&amp;FIXED(I46,2)&amp;" A/cm² - "&amp;FIXED(M46,0)&amp;"C - "&amp;FIXED(N46,0)&amp;"/"&amp;FIXED(O46,0)&amp;" %RH - "&amp;FIXED(P46,0)&amp;"\"&amp;FIXED(Q46,0)&amp;" kPa - Stabilize"</f>
        <v>RH Sweep - 0.10 A/cm² - 60C - 35/50 %RH - 120\110 kPa - Stabilize</v>
      </c>
      <c r="C46" s="117">
        <v>30</v>
      </c>
      <c r="D46" s="117">
        <v>30</v>
      </c>
      <c r="E46" s="200" t="s">
        <v>104</v>
      </c>
      <c r="F46" s="117"/>
      <c r="G46" s="186"/>
      <c r="H46" s="318"/>
      <c r="I46" s="190">
        <v>0.1</v>
      </c>
      <c r="J46" s="190">
        <f t="shared" si="0"/>
        <v>0.1</v>
      </c>
      <c r="K46" s="190">
        <v>6</v>
      </c>
      <c r="L46" s="190">
        <v>3.5</v>
      </c>
      <c r="M46" s="117">
        <v>60</v>
      </c>
      <c r="N46" s="117">
        <v>35</v>
      </c>
      <c r="O46" s="117">
        <v>50</v>
      </c>
      <c r="P46" s="117">
        <v>120</v>
      </c>
      <c r="Q46" s="117">
        <v>110</v>
      </c>
      <c r="R46" s="117">
        <v>15</v>
      </c>
      <c r="S46" s="117">
        <v>15</v>
      </c>
    </row>
    <row r="47" spans="1:19" ht="13.5" x14ac:dyDescent="0.25">
      <c r="A47" s="144"/>
      <c r="B47" s="320" t="str">
        <f>"RH Sweep - "&amp;FIXED(I47,2)&amp;" A/cm² - "&amp;FIXED(M47,0)&amp;"C - "&amp;FIXED(N47,0)&amp;"/"&amp;FIXED(O47,0)&amp;" %RH - "&amp;FIXED(P47,0)&amp;"\"&amp;FIXED(Q47,0)&amp;" kPa"</f>
        <v>RH Sweep - 0.10 A/cm² - 60C - 35/50 %RH - 120\110 kPa</v>
      </c>
      <c r="C47" s="117">
        <v>2</v>
      </c>
      <c r="D47" s="117">
        <v>0</v>
      </c>
      <c r="E47" s="321" t="s">
        <v>313</v>
      </c>
      <c r="F47" s="117"/>
      <c r="G47" s="186"/>
      <c r="H47" s="318"/>
      <c r="I47" s="190">
        <v>0.1</v>
      </c>
      <c r="J47" s="190">
        <f t="shared" si="0"/>
        <v>0.1</v>
      </c>
      <c r="K47" s="190">
        <v>6</v>
      </c>
      <c r="L47" s="190">
        <v>3.5</v>
      </c>
      <c r="M47" s="117">
        <v>60</v>
      </c>
      <c r="N47" s="117">
        <v>35</v>
      </c>
      <c r="O47" s="117">
        <v>50</v>
      </c>
      <c r="P47" s="117">
        <v>120</v>
      </c>
      <c r="Q47" s="117">
        <v>110</v>
      </c>
      <c r="R47" s="117">
        <v>15</v>
      </c>
      <c r="S47" s="117">
        <v>15</v>
      </c>
    </row>
    <row r="48" spans="1:19" ht="13.5" x14ac:dyDescent="0.25">
      <c r="A48" s="144"/>
      <c r="B48" s="193" t="str">
        <f>"RH Sweep - "&amp;FIXED(I48,2)&amp;" A/cm² - "&amp;FIXED(M48,0)&amp;"C - "&amp;FIXED(N48,0)&amp;"/"&amp;FIXED(O48,0)&amp;" %RH - "&amp;FIXED(P48,0)&amp;"\"&amp;FIXED(Q48,0)&amp;" kPa - Ramp HCD"</f>
        <v>RH Sweep - 0.10 A/cm² - 60C - 35/50 %RH - 190\190 kPa - Ramp HCD</v>
      </c>
      <c r="C48" s="117">
        <v>60</v>
      </c>
      <c r="D48" s="117">
        <v>30</v>
      </c>
      <c r="E48" s="322" t="s">
        <v>314</v>
      </c>
      <c r="F48" s="117"/>
      <c r="G48" s="186"/>
      <c r="H48" s="318"/>
      <c r="I48" s="190">
        <f>I47</f>
        <v>0.1</v>
      </c>
      <c r="J48" s="190">
        <f t="shared" ref="J48:Q48" si="1">J49</f>
        <v>1.5</v>
      </c>
      <c r="K48" s="190">
        <f t="shared" si="1"/>
        <v>2</v>
      </c>
      <c r="L48" s="190">
        <f t="shared" si="1"/>
        <v>1.6</v>
      </c>
      <c r="M48" s="117">
        <v>60</v>
      </c>
      <c r="N48" s="117">
        <f t="shared" si="1"/>
        <v>35</v>
      </c>
      <c r="O48" s="117">
        <f t="shared" si="1"/>
        <v>50</v>
      </c>
      <c r="P48" s="117">
        <v>190</v>
      </c>
      <c r="Q48" s="117">
        <f t="shared" si="1"/>
        <v>190</v>
      </c>
      <c r="R48" s="117">
        <v>2</v>
      </c>
      <c r="S48" s="117">
        <v>2</v>
      </c>
    </row>
    <row r="49" spans="1:19" ht="13.5" x14ac:dyDescent="0.25">
      <c r="A49" s="144"/>
      <c r="B49" s="193" t="str">
        <f>"RH Sweep - "&amp;FIXED(I49,2)&amp;" A/cm² - "&amp;FIXED(M49,0)&amp;"C - "&amp;FIXED(N49,0)&amp;"/"&amp;FIXED(O49,0)&amp;" %RH - "&amp;FIXED(P49,0)&amp;"\"&amp;FIXED(Q49,0)&amp;" kPa - Stabilize"</f>
        <v>RH Sweep - 1.50 A/cm² - 60C - 35/50 %RH - 230\190 kPa - Stabilize</v>
      </c>
      <c r="C49" s="117">
        <v>2</v>
      </c>
      <c r="D49" s="117">
        <v>0</v>
      </c>
      <c r="E49" s="200" t="s">
        <v>104</v>
      </c>
      <c r="F49" s="117"/>
      <c r="G49" s="186"/>
      <c r="H49" s="318"/>
      <c r="I49" s="190">
        <v>1.5</v>
      </c>
      <c r="J49" s="190">
        <f t="shared" si="0"/>
        <v>1.5</v>
      </c>
      <c r="K49" s="190">
        <v>2</v>
      </c>
      <c r="L49" s="190">
        <v>1.6</v>
      </c>
      <c r="M49" s="117">
        <v>60</v>
      </c>
      <c r="N49" s="117">
        <v>35</v>
      </c>
      <c r="O49" s="117">
        <v>50</v>
      </c>
      <c r="P49" s="117">
        <v>230</v>
      </c>
      <c r="Q49" s="117">
        <v>190</v>
      </c>
      <c r="R49" s="117">
        <v>15</v>
      </c>
      <c r="S49" s="117">
        <v>15</v>
      </c>
    </row>
    <row r="50" spans="1:19" ht="13.5" x14ac:dyDescent="0.25">
      <c r="A50" s="144"/>
      <c r="B50" s="193" t="str">
        <f>"RH Sweep - "&amp;FIXED(I50,2)&amp;" A/cm² - "&amp;FIXED(M50,0)&amp;"C - "&amp;FIXED(N50,0)&amp;"/"&amp;FIXED(O50,0)&amp;" %RH - "&amp;FIXED(P50,0)&amp;"\"&amp;FIXED(Q50,0)&amp;" kPa"</f>
        <v>RH Sweep - 1.50 A/cm² - 60C - 35/50 %RH - 230\190 kPa</v>
      </c>
      <c r="C50" s="117">
        <v>2</v>
      </c>
      <c r="D50" s="117">
        <v>0</v>
      </c>
      <c r="E50" s="321" t="s">
        <v>313</v>
      </c>
      <c r="F50" s="117"/>
      <c r="G50" s="186"/>
      <c r="H50" s="318"/>
      <c r="I50" s="190">
        <v>1.5</v>
      </c>
      <c r="J50" s="190">
        <f t="shared" si="0"/>
        <v>1.5</v>
      </c>
      <c r="K50" s="190">
        <v>2</v>
      </c>
      <c r="L50" s="190">
        <v>1.6</v>
      </c>
      <c r="M50" s="117">
        <v>60</v>
      </c>
      <c r="N50" s="117">
        <v>35</v>
      </c>
      <c r="O50" s="117">
        <v>50</v>
      </c>
      <c r="P50" s="117">
        <v>230</v>
      </c>
      <c r="Q50" s="117">
        <v>190</v>
      </c>
      <c r="R50" s="117">
        <v>15</v>
      </c>
      <c r="S50" s="117">
        <v>15</v>
      </c>
    </row>
    <row r="51" spans="1:19" ht="13.5" x14ac:dyDescent="0.25">
      <c r="A51" s="144"/>
      <c r="B51" s="320" t="str">
        <f>"RH Sweep - "&amp;FIXED(I51,2)&amp;" A/cm² - "&amp;FIXED(M51,0)&amp;"C - "&amp;FIXED(N51,0)&amp;"/"&amp;FIXED(O51,0)&amp;" %RH - "&amp;FIXED(P51,0)&amp;"\"&amp;FIXED(Q51,0)&amp;" kPa - Ramp LCD"</f>
        <v>RH Sweep - 0.10 A/cm² - 60C - 35/70 %RH - 230\190 kPa - Ramp LCD</v>
      </c>
      <c r="C51" s="117">
        <v>15</v>
      </c>
      <c r="D51" s="117">
        <v>10</v>
      </c>
      <c r="E51" s="159"/>
      <c r="F51" s="117"/>
      <c r="G51" s="186"/>
      <c r="H51" s="318"/>
      <c r="I51" s="190">
        <f>I52</f>
        <v>0.1</v>
      </c>
      <c r="J51" s="190">
        <f>J50</f>
        <v>1.5</v>
      </c>
      <c r="K51" s="190">
        <f>K50</f>
        <v>2</v>
      </c>
      <c r="L51" s="190">
        <f>L50</f>
        <v>1.6</v>
      </c>
      <c r="M51" s="117">
        <v>60</v>
      </c>
      <c r="N51" s="117">
        <v>35</v>
      </c>
      <c r="O51" s="117">
        <f>O52</f>
        <v>70</v>
      </c>
      <c r="P51" s="117">
        <f>P50</f>
        <v>230</v>
      </c>
      <c r="Q51" s="117">
        <f>Q50</f>
        <v>190</v>
      </c>
      <c r="R51" s="117">
        <v>2</v>
      </c>
      <c r="S51" s="117">
        <v>2</v>
      </c>
    </row>
    <row r="52" spans="1:19" ht="13.5" x14ac:dyDescent="0.25">
      <c r="A52" s="144"/>
      <c r="B52" s="320" t="str">
        <f>"RH Sweep - "&amp;FIXED(I52,2)&amp;" A/cm² - "&amp;FIXED(M52,0)&amp;"C - "&amp;FIXED(N52,0)&amp;"/"&amp;FIXED(O52,0)&amp;" %RH - "&amp;FIXED(P52,0)&amp;"\"&amp;FIXED(Q52,0)&amp;" kPa - Stabilize"</f>
        <v>RH Sweep - 0.10 A/cm² - 60C - 35/70 %RH - 120\110 kPa - Stabilize</v>
      </c>
      <c r="C52" s="117">
        <v>30</v>
      </c>
      <c r="D52" s="117">
        <v>30</v>
      </c>
      <c r="E52" s="200" t="s">
        <v>104</v>
      </c>
      <c r="F52" s="117"/>
      <c r="G52" s="186"/>
      <c r="H52" s="318"/>
      <c r="I52" s="190">
        <v>0.1</v>
      </c>
      <c r="J52" s="190">
        <f t="shared" si="0"/>
        <v>0.1</v>
      </c>
      <c r="K52" s="190">
        <v>6</v>
      </c>
      <c r="L52" s="190">
        <v>3.5</v>
      </c>
      <c r="M52" s="117">
        <v>60</v>
      </c>
      <c r="N52" s="117">
        <v>35</v>
      </c>
      <c r="O52" s="117">
        <v>70</v>
      </c>
      <c r="P52" s="117">
        <v>120</v>
      </c>
      <c r="Q52" s="117">
        <v>110</v>
      </c>
      <c r="R52" s="117">
        <v>15</v>
      </c>
      <c r="S52" s="117">
        <v>15</v>
      </c>
    </row>
    <row r="53" spans="1:19" ht="13.5" x14ac:dyDescent="0.25">
      <c r="A53" s="144"/>
      <c r="B53" s="320" t="str">
        <f>"RH Sweep - "&amp;FIXED(I53,2)&amp;" A/cm² - "&amp;FIXED(M53,0)&amp;"C - "&amp;FIXED(N53,0)&amp;"/"&amp;FIXED(O53,0)&amp;" %RH - "&amp;FIXED(P53,0)&amp;"\"&amp;FIXED(Q53,0)&amp;" kPa"</f>
        <v>RH Sweep - 0.10 A/cm² - 60C - 35/70 %RH - 120\110 kPa</v>
      </c>
      <c r="C53" s="117">
        <v>2</v>
      </c>
      <c r="D53" s="117">
        <v>0</v>
      </c>
      <c r="E53" s="321" t="s">
        <v>313</v>
      </c>
      <c r="F53" s="117"/>
      <c r="G53" s="186"/>
      <c r="H53" s="318"/>
      <c r="I53" s="190">
        <v>0.1</v>
      </c>
      <c r="J53" s="190">
        <f t="shared" si="0"/>
        <v>0.1</v>
      </c>
      <c r="K53" s="190">
        <v>6</v>
      </c>
      <c r="L53" s="190">
        <v>3.5</v>
      </c>
      <c r="M53" s="117">
        <v>60</v>
      </c>
      <c r="N53" s="117">
        <v>35</v>
      </c>
      <c r="O53" s="117">
        <v>70</v>
      </c>
      <c r="P53" s="117">
        <v>120</v>
      </c>
      <c r="Q53" s="117">
        <v>110</v>
      </c>
      <c r="R53" s="117">
        <v>15</v>
      </c>
      <c r="S53" s="117">
        <v>15</v>
      </c>
    </row>
    <row r="54" spans="1:19" ht="13.5" x14ac:dyDescent="0.25">
      <c r="A54" s="144"/>
      <c r="B54" s="193" t="str">
        <f>"RH Sweep - "&amp;FIXED(I54,2)&amp;" A/cm² - "&amp;FIXED(M54,0)&amp;"C - "&amp;FIXED(N54,0)&amp;"/"&amp;FIXED(O54,0)&amp;" %RH - "&amp;FIXED(P54,0)&amp;"\"&amp;FIXED(Q54,0)&amp;" kPa - Ramp HCD"</f>
        <v>RH Sweep - 0.10 A/cm² - 60C - 35/70 %RH - 190\190 kPa - Ramp HCD</v>
      </c>
      <c r="C54" s="117">
        <v>60</v>
      </c>
      <c r="D54" s="117">
        <v>30</v>
      </c>
      <c r="E54" s="322" t="s">
        <v>314</v>
      </c>
      <c r="F54" s="117"/>
      <c r="G54" s="186"/>
      <c r="H54" s="318"/>
      <c r="I54" s="190">
        <f>I53</f>
        <v>0.1</v>
      </c>
      <c r="J54" s="190">
        <f t="shared" ref="J54:Q54" si="2">J55</f>
        <v>1.5</v>
      </c>
      <c r="K54" s="190">
        <f t="shared" si="2"/>
        <v>2</v>
      </c>
      <c r="L54" s="190">
        <f t="shared" si="2"/>
        <v>1.6</v>
      </c>
      <c r="M54" s="117">
        <v>60</v>
      </c>
      <c r="N54" s="117">
        <f t="shared" si="2"/>
        <v>35</v>
      </c>
      <c r="O54" s="117">
        <f t="shared" si="2"/>
        <v>70</v>
      </c>
      <c r="P54" s="117">
        <v>190</v>
      </c>
      <c r="Q54" s="117">
        <f t="shared" si="2"/>
        <v>190</v>
      </c>
      <c r="R54" s="117">
        <v>2</v>
      </c>
      <c r="S54" s="117">
        <v>2</v>
      </c>
    </row>
    <row r="55" spans="1:19" ht="13.5" x14ac:dyDescent="0.25">
      <c r="A55" s="144"/>
      <c r="B55" s="193" t="str">
        <f>"RH Sweep - "&amp;FIXED(I55,2)&amp;" A/cm² - "&amp;FIXED(M55,0)&amp;"C - "&amp;FIXED(N55,0)&amp;"/"&amp;FIXED(O55,0)&amp;" %RH - "&amp;FIXED(P55,0)&amp;"\"&amp;FIXED(Q55,0)&amp;" kPa - Stabilize"</f>
        <v>RH Sweep - 1.50 A/cm² - 60C - 35/70 %RH - 230\190 kPa - Stabilize</v>
      </c>
      <c r="C55" s="117">
        <v>2</v>
      </c>
      <c r="D55" s="117">
        <v>0</v>
      </c>
      <c r="E55" s="200" t="s">
        <v>104</v>
      </c>
      <c r="F55" s="117"/>
      <c r="G55" s="186"/>
      <c r="H55" s="318"/>
      <c r="I55" s="190">
        <v>1.5</v>
      </c>
      <c r="J55" s="190">
        <f t="shared" si="0"/>
        <v>1.5</v>
      </c>
      <c r="K55" s="190">
        <v>2</v>
      </c>
      <c r="L55" s="190">
        <v>1.6</v>
      </c>
      <c r="M55" s="117">
        <v>60</v>
      </c>
      <c r="N55" s="117">
        <v>35</v>
      </c>
      <c r="O55" s="117">
        <v>70</v>
      </c>
      <c r="P55" s="117">
        <v>230</v>
      </c>
      <c r="Q55" s="117">
        <v>190</v>
      </c>
      <c r="R55" s="117">
        <v>15</v>
      </c>
      <c r="S55" s="117">
        <v>15</v>
      </c>
    </row>
    <row r="56" spans="1:19" ht="13.5" x14ac:dyDescent="0.25">
      <c r="A56" s="144"/>
      <c r="B56" s="193" t="str">
        <f>"RH Sweep - "&amp;FIXED(I56,2)&amp;" A/cm² - "&amp;FIXED(M56,0)&amp;"C - "&amp;FIXED(N56,0)&amp;"/"&amp;FIXED(O56,0)&amp;" %RH - "&amp;FIXED(P56,0)&amp;"\"&amp;FIXED(Q56,0)&amp;" kPa"</f>
        <v>RH Sweep - 1.50 A/cm² - 60C - 35/70 %RH - 230\190 kPa</v>
      </c>
      <c r="C56" s="117">
        <v>2</v>
      </c>
      <c r="D56" s="117">
        <v>0</v>
      </c>
      <c r="E56" s="321" t="s">
        <v>313</v>
      </c>
      <c r="F56" s="117"/>
      <c r="G56" s="186"/>
      <c r="H56" s="318"/>
      <c r="I56" s="190">
        <v>1.5</v>
      </c>
      <c r="J56" s="190">
        <f t="shared" si="0"/>
        <v>1.5</v>
      </c>
      <c r="K56" s="190">
        <v>2</v>
      </c>
      <c r="L56" s="190">
        <v>1.6</v>
      </c>
      <c r="M56" s="117">
        <v>60</v>
      </c>
      <c r="N56" s="117">
        <v>35</v>
      </c>
      <c r="O56" s="117">
        <v>70</v>
      </c>
      <c r="P56" s="117">
        <v>230</v>
      </c>
      <c r="Q56" s="117">
        <v>190</v>
      </c>
      <c r="R56" s="117">
        <v>15</v>
      </c>
      <c r="S56" s="117">
        <v>15</v>
      </c>
    </row>
    <row r="57" spans="1:19" ht="13.5" x14ac:dyDescent="0.25">
      <c r="A57" s="144"/>
      <c r="B57" s="320" t="str">
        <f>"RH Sweep - "&amp;FIXED(I57,2)&amp;" A/cm² - "&amp;FIXED(M57,0)&amp;"C - "&amp;FIXED(N57,0)&amp;"/"&amp;FIXED(O57,0)&amp;" %RH - "&amp;FIXED(P57,0)&amp;"\"&amp;FIXED(Q57,0)&amp;" kPa - Ramp LCD"</f>
        <v>RH Sweep - 0.10 A/cm² - 60C - 35/90 %RH - 230\190 kPa - Ramp LCD</v>
      </c>
      <c r="C57" s="117">
        <v>15</v>
      </c>
      <c r="D57" s="117">
        <v>10</v>
      </c>
      <c r="E57" s="159"/>
      <c r="F57" s="117"/>
      <c r="G57" s="186"/>
      <c r="H57" s="318"/>
      <c r="I57" s="190">
        <f>I58</f>
        <v>0.1</v>
      </c>
      <c r="J57" s="190">
        <f>J56</f>
        <v>1.5</v>
      </c>
      <c r="K57" s="190">
        <f>K56</f>
        <v>2</v>
      </c>
      <c r="L57" s="190">
        <f>L56</f>
        <v>1.6</v>
      </c>
      <c r="M57" s="117">
        <v>60</v>
      </c>
      <c r="N57" s="117">
        <v>35</v>
      </c>
      <c r="O57" s="117">
        <f>O58</f>
        <v>90</v>
      </c>
      <c r="P57" s="117">
        <f>P56</f>
        <v>230</v>
      </c>
      <c r="Q57" s="117">
        <f>Q56</f>
        <v>190</v>
      </c>
      <c r="R57" s="117">
        <v>2</v>
      </c>
      <c r="S57" s="117">
        <v>2</v>
      </c>
    </row>
    <row r="58" spans="1:19" ht="13.5" x14ac:dyDescent="0.25">
      <c r="A58" s="144"/>
      <c r="B58" s="320" t="str">
        <f>"RH Sweep - "&amp;FIXED(I58,2)&amp;" A/cm² - "&amp;FIXED(M58,0)&amp;"C - "&amp;FIXED(N58,0)&amp;"/"&amp;FIXED(O58,0)&amp;" %RH - "&amp;FIXED(P58,0)&amp;"\"&amp;FIXED(Q58,0)&amp;" kPa - Stabilize"</f>
        <v>RH Sweep - 0.10 A/cm² - 60C - 35/90 %RH - 120\110 kPa - Stabilize</v>
      </c>
      <c r="C58" s="117">
        <v>30</v>
      </c>
      <c r="D58" s="117">
        <v>30</v>
      </c>
      <c r="E58" s="200" t="s">
        <v>104</v>
      </c>
      <c r="F58" s="117"/>
      <c r="G58" s="186"/>
      <c r="H58" s="318"/>
      <c r="I58" s="190">
        <v>0.1</v>
      </c>
      <c r="J58" s="190">
        <f t="shared" si="0"/>
        <v>0.1</v>
      </c>
      <c r="K58" s="190">
        <v>6</v>
      </c>
      <c r="L58" s="190">
        <v>3.5</v>
      </c>
      <c r="M58" s="117">
        <v>60</v>
      </c>
      <c r="N58" s="117">
        <v>35</v>
      </c>
      <c r="O58" s="117">
        <v>90</v>
      </c>
      <c r="P58" s="117">
        <v>120</v>
      </c>
      <c r="Q58" s="117">
        <v>110</v>
      </c>
      <c r="R58" s="117">
        <v>15</v>
      </c>
      <c r="S58" s="117">
        <v>15</v>
      </c>
    </row>
    <row r="59" spans="1:19" ht="13.5" x14ac:dyDescent="0.25">
      <c r="A59" s="144"/>
      <c r="B59" s="320" t="str">
        <f>"RH Sweep - "&amp;FIXED(I59,2)&amp;" A/cm² - "&amp;FIXED(M59,0)&amp;"C - "&amp;FIXED(N59,0)&amp;"/"&amp;FIXED(O59,0)&amp;" %RH - "&amp;FIXED(P59,0)&amp;"\"&amp;FIXED(Q59,0)&amp;" kPa"</f>
        <v>RH Sweep - 0.10 A/cm² - 60C - 35/90 %RH - 120\110 kPa</v>
      </c>
      <c r="C59" s="117">
        <v>2</v>
      </c>
      <c r="D59" s="117">
        <v>0</v>
      </c>
      <c r="E59" s="321" t="s">
        <v>313</v>
      </c>
      <c r="F59" s="117"/>
      <c r="G59" s="186"/>
      <c r="H59" s="318"/>
      <c r="I59" s="190">
        <v>0.1</v>
      </c>
      <c r="J59" s="190">
        <f t="shared" si="0"/>
        <v>0.1</v>
      </c>
      <c r="K59" s="190">
        <v>6</v>
      </c>
      <c r="L59" s="190">
        <v>3.5</v>
      </c>
      <c r="M59" s="117">
        <v>60</v>
      </c>
      <c r="N59" s="117">
        <v>35</v>
      </c>
      <c r="O59" s="117">
        <v>90</v>
      </c>
      <c r="P59" s="117">
        <v>120</v>
      </c>
      <c r="Q59" s="117">
        <v>110</v>
      </c>
      <c r="R59" s="117">
        <v>15</v>
      </c>
      <c r="S59" s="117">
        <v>15</v>
      </c>
    </row>
    <row r="60" spans="1:19" ht="13.5" x14ac:dyDescent="0.25">
      <c r="A60" s="144"/>
      <c r="B60" s="193" t="str">
        <f>"RH Sweep - "&amp;FIXED(I60,2)&amp;" A/cm² - "&amp;FIXED(M60,0)&amp;"C - "&amp;FIXED(N60,0)&amp;"/"&amp;FIXED(O60,0)&amp;" %RH - "&amp;FIXED(P60,0)&amp;"\"&amp;FIXED(Q60,0)&amp;" kPa - Ramp HCD"</f>
        <v>RH Sweep - 0.10 A/cm² - 60C - 35/90 %RH - 190\190 kPa - Ramp HCD</v>
      </c>
      <c r="C60" s="117">
        <v>60</v>
      </c>
      <c r="D60" s="117">
        <v>30</v>
      </c>
      <c r="E60" s="322" t="s">
        <v>314</v>
      </c>
      <c r="F60" s="117"/>
      <c r="G60" s="186"/>
      <c r="H60" s="318"/>
      <c r="I60" s="190">
        <f>I59</f>
        <v>0.1</v>
      </c>
      <c r="J60" s="190">
        <f t="shared" ref="J60:Q60" si="3">J61</f>
        <v>1.5</v>
      </c>
      <c r="K60" s="190">
        <f t="shared" si="3"/>
        <v>2</v>
      </c>
      <c r="L60" s="190">
        <f t="shared" si="3"/>
        <v>1.6</v>
      </c>
      <c r="M60" s="117">
        <v>60</v>
      </c>
      <c r="N60" s="117">
        <f t="shared" si="3"/>
        <v>35</v>
      </c>
      <c r="O60" s="117">
        <f t="shared" si="3"/>
        <v>90</v>
      </c>
      <c r="P60" s="117">
        <v>190</v>
      </c>
      <c r="Q60" s="117">
        <f t="shared" si="3"/>
        <v>190</v>
      </c>
      <c r="R60" s="117">
        <v>2</v>
      </c>
      <c r="S60" s="117">
        <v>2</v>
      </c>
    </row>
    <row r="61" spans="1:19" ht="13.5" x14ac:dyDescent="0.25">
      <c r="A61" s="144"/>
      <c r="B61" s="193" t="str">
        <f>"RH Sweep - "&amp;FIXED(I61,2)&amp;" A/cm² - "&amp;FIXED(M61,0)&amp;"C - "&amp;FIXED(N61,0)&amp;"/"&amp;FIXED(O61,0)&amp;" %RH - "&amp;FIXED(P61,0)&amp;"\"&amp;FIXED(Q61,0)&amp;" kPa - Stabilize"</f>
        <v>RH Sweep - 1.50 A/cm² - 60C - 35/90 %RH - 230\190 kPa - Stabilize</v>
      </c>
      <c r="C61" s="117">
        <v>2</v>
      </c>
      <c r="D61" s="117">
        <v>0</v>
      </c>
      <c r="E61" s="200" t="s">
        <v>104</v>
      </c>
      <c r="F61" s="117"/>
      <c r="G61" s="186"/>
      <c r="H61" s="318"/>
      <c r="I61" s="190">
        <v>1.5</v>
      </c>
      <c r="J61" s="190">
        <f t="shared" si="0"/>
        <v>1.5</v>
      </c>
      <c r="K61" s="190">
        <v>2</v>
      </c>
      <c r="L61" s="190">
        <v>1.6</v>
      </c>
      <c r="M61" s="117">
        <v>60</v>
      </c>
      <c r="N61" s="117">
        <v>35</v>
      </c>
      <c r="O61" s="117">
        <v>90</v>
      </c>
      <c r="P61" s="117">
        <v>230</v>
      </c>
      <c r="Q61" s="117">
        <v>190</v>
      </c>
      <c r="R61" s="117">
        <v>15</v>
      </c>
      <c r="S61" s="117">
        <v>15</v>
      </c>
    </row>
    <row r="62" spans="1:19" ht="13.5" x14ac:dyDescent="0.25">
      <c r="A62" s="144"/>
      <c r="B62" s="193" t="str">
        <f>"RH Sweep - "&amp;FIXED(I62,2)&amp;" A/cm² - "&amp;FIXED(M62,0)&amp;"C - "&amp;FIXED(N62,0)&amp;"/"&amp;FIXED(O62,0)&amp;" %RH - "&amp;FIXED(P62,0)&amp;"\"&amp;FIXED(Q62,0)&amp;" kPa"</f>
        <v>RH Sweep - 1.50 A/cm² - 60C - 35/90 %RH - 230\190 kPa</v>
      </c>
      <c r="C62" s="117">
        <v>2</v>
      </c>
      <c r="D62" s="117">
        <v>0</v>
      </c>
      <c r="E62" s="321" t="s">
        <v>313</v>
      </c>
      <c r="F62" s="117"/>
      <c r="G62" s="186"/>
      <c r="H62" s="318"/>
      <c r="I62" s="190">
        <v>1.5</v>
      </c>
      <c r="J62" s="190">
        <f t="shared" si="0"/>
        <v>1.5</v>
      </c>
      <c r="K62" s="190">
        <v>2</v>
      </c>
      <c r="L62" s="190">
        <v>1.6</v>
      </c>
      <c r="M62" s="117">
        <v>60</v>
      </c>
      <c r="N62" s="117">
        <v>35</v>
      </c>
      <c r="O62" s="117">
        <v>90</v>
      </c>
      <c r="P62" s="117">
        <v>230</v>
      </c>
      <c r="Q62" s="117">
        <v>190</v>
      </c>
      <c r="R62" s="117">
        <v>15</v>
      </c>
      <c r="S62" s="117">
        <v>15</v>
      </c>
    </row>
    <row r="63" spans="1:19" ht="13.5" x14ac:dyDescent="0.25">
      <c r="A63" s="144"/>
      <c r="B63" s="320" t="str">
        <f>"RH Sweep - "&amp;FIXED(I63,2)&amp;" A/cm² - "&amp;FIXED(M63,0)&amp;"C - "&amp;FIXED(N63,0)&amp;"/"&amp;FIXED(O63,0)&amp;" %RH - "&amp;FIXED(P63,0)&amp;"\"&amp;FIXED(Q63,0)&amp;" kPa - Ramp LCD"</f>
        <v>RH Sweep - 0.10 A/cm² - 60C - 35/110 %RH - 230\190 kPa - Ramp LCD</v>
      </c>
      <c r="C63" s="117">
        <v>15</v>
      </c>
      <c r="D63" s="117">
        <v>10</v>
      </c>
      <c r="E63" s="159"/>
      <c r="F63" s="117"/>
      <c r="G63" s="186"/>
      <c r="H63" s="318"/>
      <c r="I63" s="190">
        <f>I64</f>
        <v>0.1</v>
      </c>
      <c r="J63" s="190">
        <f>J62</f>
        <v>1.5</v>
      </c>
      <c r="K63" s="190">
        <f>K62</f>
        <v>2</v>
      </c>
      <c r="L63" s="190">
        <f>L62</f>
        <v>1.6</v>
      </c>
      <c r="M63" s="117">
        <v>60</v>
      </c>
      <c r="N63" s="117">
        <v>35</v>
      </c>
      <c r="O63" s="117">
        <f>O64</f>
        <v>110</v>
      </c>
      <c r="P63" s="117">
        <f>P62</f>
        <v>230</v>
      </c>
      <c r="Q63" s="117">
        <f>Q62</f>
        <v>190</v>
      </c>
      <c r="R63" s="117">
        <v>2</v>
      </c>
      <c r="S63" s="117">
        <v>2</v>
      </c>
    </row>
    <row r="64" spans="1:19" ht="13.5" x14ac:dyDescent="0.25">
      <c r="A64" s="144"/>
      <c r="B64" s="320" t="str">
        <f>"RH Sweep - "&amp;FIXED(I64,2)&amp;" A/cm² - "&amp;FIXED(M64,0)&amp;"C - "&amp;FIXED(N64,0)&amp;"/"&amp;FIXED(O64,0)&amp;" %RH - "&amp;FIXED(P64,0)&amp;"\"&amp;FIXED(Q64,0)&amp;" kPa - Stabilize"</f>
        <v>RH Sweep - 0.10 A/cm² - 60C - 35/110 %RH - 120\110 kPa - Stabilize</v>
      </c>
      <c r="C64" s="117">
        <v>30</v>
      </c>
      <c r="D64" s="117">
        <v>30</v>
      </c>
      <c r="E64" s="200" t="s">
        <v>104</v>
      </c>
      <c r="F64" s="117"/>
      <c r="G64" s="186"/>
      <c r="H64" s="318"/>
      <c r="I64" s="190">
        <v>0.1</v>
      </c>
      <c r="J64" s="190">
        <f t="shared" si="0"/>
        <v>0.1</v>
      </c>
      <c r="K64" s="190">
        <v>6</v>
      </c>
      <c r="L64" s="190">
        <v>3.5</v>
      </c>
      <c r="M64" s="117">
        <v>60</v>
      </c>
      <c r="N64" s="117">
        <v>35</v>
      </c>
      <c r="O64" s="117">
        <v>110</v>
      </c>
      <c r="P64" s="117">
        <v>120</v>
      </c>
      <c r="Q64" s="117">
        <v>110</v>
      </c>
      <c r="R64" s="117">
        <v>15</v>
      </c>
      <c r="S64" s="117">
        <v>15</v>
      </c>
    </row>
    <row r="65" spans="1:19" ht="13.5" x14ac:dyDescent="0.25">
      <c r="A65" s="144"/>
      <c r="B65" s="320" t="str">
        <f>"RH Sweep - "&amp;FIXED(I65,2)&amp;" A/cm² - "&amp;FIXED(M65,0)&amp;"C - "&amp;FIXED(N65,0)&amp;"/"&amp;FIXED(O65,0)&amp;" %RH - "&amp;FIXED(P65,0)&amp;"\"&amp;FIXED(Q65,0)&amp;" kPa"</f>
        <v>RH Sweep - 0.10 A/cm² - 60C - 35/110 %RH - 120\110 kPa</v>
      </c>
      <c r="C65" s="117">
        <v>2</v>
      </c>
      <c r="D65" s="117">
        <v>0</v>
      </c>
      <c r="E65" s="321" t="s">
        <v>313</v>
      </c>
      <c r="F65" s="117"/>
      <c r="G65" s="186"/>
      <c r="H65" s="318"/>
      <c r="I65" s="190">
        <v>0.1</v>
      </c>
      <c r="J65" s="190">
        <f t="shared" si="0"/>
        <v>0.1</v>
      </c>
      <c r="K65" s="190">
        <v>6</v>
      </c>
      <c r="L65" s="190">
        <v>3.5</v>
      </c>
      <c r="M65" s="117">
        <v>60</v>
      </c>
      <c r="N65" s="117">
        <v>35</v>
      </c>
      <c r="O65" s="117">
        <v>110</v>
      </c>
      <c r="P65" s="117">
        <v>120</v>
      </c>
      <c r="Q65" s="117">
        <v>110</v>
      </c>
      <c r="R65" s="117">
        <v>15</v>
      </c>
      <c r="S65" s="117">
        <v>15</v>
      </c>
    </row>
    <row r="66" spans="1:19" ht="13.5" x14ac:dyDescent="0.25">
      <c r="A66" s="144"/>
      <c r="B66" s="193" t="str">
        <f>"RH Sweep - "&amp;FIXED(I66,2)&amp;" A/cm² - "&amp;FIXED(M66,0)&amp;"C - "&amp;FIXED(N66,0)&amp;"/"&amp;FIXED(O66,0)&amp;" %RH - "&amp;FIXED(P66,0)&amp;"\"&amp;FIXED(Q66,0)&amp;" kPa - Ramp HCD"</f>
        <v>RH Sweep - 0.10 A/cm² - 60C - 35/110 %RH - 190\190 kPa - Ramp HCD</v>
      </c>
      <c r="C66" s="117">
        <v>60</v>
      </c>
      <c r="D66" s="117">
        <v>30</v>
      </c>
      <c r="E66" s="322" t="s">
        <v>314</v>
      </c>
      <c r="F66" s="117"/>
      <c r="G66" s="186"/>
      <c r="H66" s="318"/>
      <c r="I66" s="190">
        <f>I65</f>
        <v>0.1</v>
      </c>
      <c r="J66" s="190">
        <f t="shared" ref="J66:Q66" si="4">J67</f>
        <v>1.5</v>
      </c>
      <c r="K66" s="190">
        <f t="shared" si="4"/>
        <v>2</v>
      </c>
      <c r="L66" s="190">
        <f t="shared" si="4"/>
        <v>1.6</v>
      </c>
      <c r="M66" s="117">
        <v>60</v>
      </c>
      <c r="N66" s="117">
        <f t="shared" si="4"/>
        <v>35</v>
      </c>
      <c r="O66" s="117">
        <f t="shared" si="4"/>
        <v>110</v>
      </c>
      <c r="P66" s="117">
        <v>190</v>
      </c>
      <c r="Q66" s="117">
        <f t="shared" si="4"/>
        <v>190</v>
      </c>
      <c r="R66" s="117">
        <v>2</v>
      </c>
      <c r="S66" s="117">
        <v>2</v>
      </c>
    </row>
    <row r="67" spans="1:19" ht="13.5" x14ac:dyDescent="0.25">
      <c r="A67" s="144"/>
      <c r="B67" s="193" t="str">
        <f>"RH Sweep - "&amp;FIXED(I67,2)&amp;" A/cm² - "&amp;FIXED(M67,0)&amp;"C - "&amp;FIXED(N67,0)&amp;"/"&amp;FIXED(O67,0)&amp;" %RH - "&amp;FIXED(P67,0)&amp;"\"&amp;FIXED(Q67,0)&amp;" kPa - Stabilize"</f>
        <v>RH Sweep - 1.50 A/cm² - 60C - 35/110 %RH - 230\190 kPa - Stabilize</v>
      </c>
      <c r="C67" s="117">
        <v>2</v>
      </c>
      <c r="D67" s="117">
        <v>0</v>
      </c>
      <c r="E67" s="200" t="s">
        <v>104</v>
      </c>
      <c r="F67" s="117"/>
      <c r="G67" s="186"/>
      <c r="H67" s="318"/>
      <c r="I67" s="190">
        <v>1.5</v>
      </c>
      <c r="J67" s="190">
        <f t="shared" si="0"/>
        <v>1.5</v>
      </c>
      <c r="K67" s="190">
        <v>2</v>
      </c>
      <c r="L67" s="190">
        <v>1.6</v>
      </c>
      <c r="M67" s="117">
        <v>60</v>
      </c>
      <c r="N67" s="117">
        <v>35</v>
      </c>
      <c r="O67" s="117">
        <v>110</v>
      </c>
      <c r="P67" s="117">
        <v>230</v>
      </c>
      <c r="Q67" s="117">
        <v>190</v>
      </c>
      <c r="R67" s="117">
        <v>15</v>
      </c>
      <c r="S67" s="117">
        <v>15</v>
      </c>
    </row>
    <row r="68" spans="1:19" ht="13.5" x14ac:dyDescent="0.25">
      <c r="A68" s="144"/>
      <c r="B68" s="193" t="str">
        <f>"RH Sweep - "&amp;FIXED(I68,2)&amp;" A/cm² - "&amp;FIXED(M68,0)&amp;"C - "&amp;FIXED(N68,0)&amp;"/"&amp;FIXED(O68,0)&amp;" %RH - "&amp;FIXED(P68,0)&amp;"\"&amp;FIXED(Q68,0)&amp;" kPa"</f>
        <v>RH Sweep - 1.50 A/cm² - 60C - 35/110 %RH - 230\190 kPa</v>
      </c>
      <c r="C68" s="117">
        <v>2</v>
      </c>
      <c r="D68" s="117">
        <v>0</v>
      </c>
      <c r="E68" s="321" t="s">
        <v>313</v>
      </c>
      <c r="F68" s="117"/>
      <c r="G68" s="186"/>
      <c r="H68" s="318"/>
      <c r="I68" s="190">
        <v>1.5</v>
      </c>
      <c r="J68" s="190">
        <f t="shared" si="0"/>
        <v>1.5</v>
      </c>
      <c r="K68" s="190">
        <v>2</v>
      </c>
      <c r="L68" s="190">
        <v>1.6</v>
      </c>
      <c r="M68" s="117">
        <v>60</v>
      </c>
      <c r="N68" s="117">
        <v>35</v>
      </c>
      <c r="O68" s="117">
        <v>110</v>
      </c>
      <c r="P68" s="117">
        <v>230</v>
      </c>
      <c r="Q68" s="117">
        <v>190</v>
      </c>
      <c r="R68" s="117">
        <v>15</v>
      </c>
      <c r="S68" s="117">
        <v>15</v>
      </c>
    </row>
    <row r="69" spans="1:19" ht="15.75" x14ac:dyDescent="0.25">
      <c r="A69" s="144" t="s">
        <v>21</v>
      </c>
      <c r="B69" s="145" t="s">
        <v>315</v>
      </c>
      <c r="C69" s="117"/>
      <c r="D69" s="117"/>
      <c r="E69" s="159"/>
      <c r="F69" s="117"/>
      <c r="G69" s="186"/>
      <c r="H69" s="318"/>
      <c r="I69" s="190"/>
      <c r="J69" s="190"/>
      <c r="K69" s="190"/>
      <c r="L69" s="190"/>
      <c r="M69" s="117"/>
      <c r="N69" s="117"/>
      <c r="O69" s="117"/>
      <c r="P69" s="117"/>
      <c r="Q69" s="117"/>
      <c r="R69" s="117"/>
      <c r="S69" s="117"/>
    </row>
    <row r="70" spans="1:19" ht="13.5" x14ac:dyDescent="0.25">
      <c r="A70" s="144"/>
      <c r="B70" s="193" t="s">
        <v>315</v>
      </c>
      <c r="C70" s="117">
        <v>300</v>
      </c>
      <c r="D70" s="117">
        <v>10</v>
      </c>
      <c r="E70" s="200" t="s">
        <v>104</v>
      </c>
      <c r="F70" s="117"/>
      <c r="G70" s="186"/>
      <c r="H70" s="318"/>
      <c r="I70" s="190">
        <v>1.5</v>
      </c>
      <c r="J70" s="190">
        <f t="shared" ref="J70:J102" si="5">I70</f>
        <v>1.5</v>
      </c>
      <c r="K70" s="190">
        <v>2</v>
      </c>
      <c r="L70" s="190">
        <v>1.6</v>
      </c>
      <c r="M70" s="117">
        <v>85</v>
      </c>
      <c r="N70" s="117">
        <v>35</v>
      </c>
      <c r="O70" s="117">
        <v>35</v>
      </c>
      <c r="P70" s="117">
        <v>230</v>
      </c>
      <c r="Q70" s="117">
        <v>190</v>
      </c>
      <c r="R70" s="117">
        <v>15</v>
      </c>
      <c r="S70" s="117">
        <v>15</v>
      </c>
    </row>
    <row r="71" spans="1:19" ht="13.5" x14ac:dyDescent="0.25">
      <c r="A71" s="144"/>
      <c r="B71" s="193" t="s">
        <v>316</v>
      </c>
      <c r="C71" s="117">
        <v>120</v>
      </c>
      <c r="D71" s="117">
        <v>0</v>
      </c>
      <c r="E71" s="319" t="s">
        <v>311</v>
      </c>
      <c r="F71" s="117" t="s">
        <v>90</v>
      </c>
      <c r="G71" s="186" t="s">
        <v>24</v>
      </c>
      <c r="H71" s="318">
        <v>0.85</v>
      </c>
      <c r="I71" s="190">
        <v>0.1</v>
      </c>
      <c r="J71" s="190">
        <v>1.5</v>
      </c>
      <c r="K71" s="190">
        <v>2</v>
      </c>
      <c r="L71" s="190">
        <v>0</v>
      </c>
      <c r="M71" s="117">
        <v>85</v>
      </c>
      <c r="N71" s="117">
        <v>35</v>
      </c>
      <c r="O71" s="117">
        <v>35</v>
      </c>
      <c r="P71" s="117">
        <v>230</v>
      </c>
      <c r="Q71" s="117">
        <v>190</v>
      </c>
      <c r="R71" s="117">
        <v>1</v>
      </c>
      <c r="S71" s="117">
        <v>1</v>
      </c>
    </row>
    <row r="72" spans="1:19" ht="15.75" x14ac:dyDescent="0.25">
      <c r="A72" s="144" t="s">
        <v>21</v>
      </c>
      <c r="B72" s="145" t="s">
        <v>317</v>
      </c>
      <c r="C72" s="117"/>
      <c r="D72" s="117"/>
      <c r="E72" s="159"/>
      <c r="F72" s="117"/>
      <c r="G72" s="186"/>
      <c r="H72" s="318"/>
      <c r="I72" s="190"/>
      <c r="J72" s="190"/>
      <c r="K72" s="190"/>
      <c r="L72" s="190"/>
      <c r="M72" s="117"/>
      <c r="N72" s="117"/>
      <c r="O72" s="117"/>
      <c r="P72" s="117"/>
      <c r="Q72" s="117"/>
      <c r="R72" s="117"/>
      <c r="S72" s="117"/>
    </row>
    <row r="73" spans="1:19" ht="13.5" x14ac:dyDescent="0.25">
      <c r="A73" s="144"/>
      <c r="B73" s="320" t="str">
        <f>"RH Sweep - "&amp;FIXED(I73,2)&amp;" A/cm² - "&amp;FIXED(M73,0)&amp;"C - "&amp;FIXED(N73,0)&amp;"/"&amp;FIXED(O73,0)&amp;" %RH - "&amp;FIXED(P73,0)&amp;"\"&amp;FIXED(Q73,0)&amp;" kPa - Ramp LCD"</f>
        <v>RH Sweep - 0.10 A/cm² - 85C - 35/35 %RH - 230\190 kPa - Ramp LCD</v>
      </c>
      <c r="C73" s="117">
        <v>15</v>
      </c>
      <c r="D73" s="117">
        <v>10</v>
      </c>
      <c r="E73" s="159"/>
      <c r="F73" s="117" t="s">
        <v>121</v>
      </c>
      <c r="G73" s="186" t="s">
        <v>24</v>
      </c>
      <c r="H73" s="318">
        <v>1.1000000000000001</v>
      </c>
      <c r="I73" s="190">
        <f>I74</f>
        <v>0.1</v>
      </c>
      <c r="J73" s="190">
        <f>J70</f>
        <v>1.5</v>
      </c>
      <c r="K73" s="190">
        <f>K70</f>
        <v>2</v>
      </c>
      <c r="L73" s="190">
        <f>L70</f>
        <v>1.6</v>
      </c>
      <c r="M73" s="117">
        <v>85</v>
      </c>
      <c r="N73" s="117">
        <v>35</v>
      </c>
      <c r="O73" s="117">
        <f>O74</f>
        <v>35</v>
      </c>
      <c r="P73" s="117">
        <f>P70</f>
        <v>230</v>
      </c>
      <c r="Q73" s="117">
        <f>Q70</f>
        <v>190</v>
      </c>
      <c r="R73" s="117">
        <v>2</v>
      </c>
      <c r="S73" s="117">
        <v>2</v>
      </c>
    </row>
    <row r="74" spans="1:19" ht="13.5" x14ac:dyDescent="0.25">
      <c r="A74" s="144"/>
      <c r="B74" s="320" t="str">
        <f>"RH Sweep - "&amp;FIXED(I74,2)&amp;" A/cm² - "&amp;FIXED(M74,0)&amp;"C - "&amp;FIXED(N74,0)&amp;"/"&amp;FIXED(O74,0)&amp;" %RH - "&amp;FIXED(P74,0)&amp;"\"&amp;FIXED(Q74,0)&amp;" kPa - Stabilize"</f>
        <v>RH Sweep - 0.10 A/cm² - 85C - 35/35 %RH - 120\110 kPa - Stabilize</v>
      </c>
      <c r="C74" s="117">
        <v>30</v>
      </c>
      <c r="D74" s="117">
        <v>30</v>
      </c>
      <c r="E74" s="200" t="s">
        <v>104</v>
      </c>
      <c r="F74" s="117"/>
      <c r="G74" s="186"/>
      <c r="H74" s="318"/>
      <c r="I74" s="190">
        <v>0.1</v>
      </c>
      <c r="J74" s="190">
        <f t="shared" si="5"/>
        <v>0.1</v>
      </c>
      <c r="K74" s="190">
        <v>6</v>
      </c>
      <c r="L74" s="190">
        <v>3.5</v>
      </c>
      <c r="M74" s="117">
        <v>85</v>
      </c>
      <c r="N74" s="117">
        <v>35</v>
      </c>
      <c r="O74" s="117">
        <v>35</v>
      </c>
      <c r="P74" s="117">
        <v>120</v>
      </c>
      <c r="Q74" s="117">
        <v>110</v>
      </c>
      <c r="R74" s="117">
        <v>15</v>
      </c>
      <c r="S74" s="117">
        <v>15</v>
      </c>
    </row>
    <row r="75" spans="1:19" ht="13.5" x14ac:dyDescent="0.25">
      <c r="A75" s="144"/>
      <c r="B75" s="320" t="str">
        <f>"RH Sweep - "&amp;FIXED(I75,2)&amp;" A/cm² - "&amp;FIXED(M75,0)&amp;"C - "&amp;FIXED(N75,0)&amp;"/"&amp;FIXED(O75,0)&amp;" %RH - "&amp;FIXED(P75,0)&amp;"\"&amp;FIXED(Q75,0)&amp;" kPa"</f>
        <v>RH Sweep - 0.10 A/cm² - 85C - 35/35 %RH - 120\110 kPa</v>
      </c>
      <c r="C75" s="117">
        <v>2</v>
      </c>
      <c r="D75" s="117">
        <v>0</v>
      </c>
      <c r="E75" s="321" t="s">
        <v>313</v>
      </c>
      <c r="F75" s="117"/>
      <c r="G75" s="186"/>
      <c r="H75" s="318"/>
      <c r="I75" s="190">
        <v>0.1</v>
      </c>
      <c r="J75" s="190">
        <f t="shared" si="5"/>
        <v>0.1</v>
      </c>
      <c r="K75" s="190">
        <v>6</v>
      </c>
      <c r="L75" s="190">
        <v>3.5</v>
      </c>
      <c r="M75" s="117">
        <v>85</v>
      </c>
      <c r="N75" s="117">
        <v>35</v>
      </c>
      <c r="O75" s="117">
        <v>35</v>
      </c>
      <c r="P75" s="117">
        <v>120</v>
      </c>
      <c r="Q75" s="117">
        <v>110</v>
      </c>
      <c r="R75" s="117">
        <v>15</v>
      </c>
      <c r="S75" s="117">
        <v>15</v>
      </c>
    </row>
    <row r="76" spans="1:19" ht="13.5" x14ac:dyDescent="0.25">
      <c r="A76" s="144"/>
      <c r="B76" s="193" t="str">
        <f>"RH Sweep - "&amp;FIXED(I76,2)&amp;" A/cm² - "&amp;FIXED(M76,0)&amp;"C - "&amp;FIXED(N76,0)&amp;"/"&amp;FIXED(O76,0)&amp;" %RH - "&amp;FIXED(P76,0)&amp;"\"&amp;FIXED(Q76,0)&amp;" kPa - Ramp HCD"</f>
        <v>RH Sweep - 0.10 A/cm² - 85C - 35/35 %RH - 190\190 kPa - Ramp HCD</v>
      </c>
      <c r="C76" s="117">
        <v>60</v>
      </c>
      <c r="D76" s="117">
        <v>30</v>
      </c>
      <c r="E76" s="322" t="s">
        <v>314</v>
      </c>
      <c r="F76" s="117"/>
      <c r="G76" s="186"/>
      <c r="H76" s="318"/>
      <c r="I76" s="190">
        <f>I75</f>
        <v>0.1</v>
      </c>
      <c r="J76" s="190">
        <f t="shared" ref="J76:Q76" si="6">J77</f>
        <v>1.5</v>
      </c>
      <c r="K76" s="190">
        <f t="shared" si="6"/>
        <v>2</v>
      </c>
      <c r="L76" s="190">
        <f t="shared" si="6"/>
        <v>1.6</v>
      </c>
      <c r="M76" s="117">
        <f t="shared" si="6"/>
        <v>85</v>
      </c>
      <c r="N76" s="117">
        <f t="shared" si="6"/>
        <v>35</v>
      </c>
      <c r="O76" s="117">
        <f t="shared" si="6"/>
        <v>35</v>
      </c>
      <c r="P76" s="117">
        <v>190</v>
      </c>
      <c r="Q76" s="117">
        <f t="shared" si="6"/>
        <v>190</v>
      </c>
      <c r="R76" s="117">
        <v>2</v>
      </c>
      <c r="S76" s="117">
        <v>2</v>
      </c>
    </row>
    <row r="77" spans="1:19" ht="13.5" x14ac:dyDescent="0.25">
      <c r="A77" s="144"/>
      <c r="B77" s="193" t="str">
        <f>"RH Sweep - "&amp;FIXED(I77,2)&amp;" A/cm² - "&amp;FIXED(M77,0)&amp;"C - "&amp;FIXED(N77,0)&amp;"/"&amp;FIXED(O77,0)&amp;" %RH - "&amp;FIXED(P77,0)&amp;"\"&amp;FIXED(Q77,0)&amp;" kPa - Stabilize"</f>
        <v>RH Sweep - 1.50 A/cm² - 85C - 35/35 %RH - 230\190 kPa - Stabilize</v>
      </c>
      <c r="C77" s="117">
        <v>2</v>
      </c>
      <c r="D77" s="117">
        <v>0</v>
      </c>
      <c r="E77" s="200" t="s">
        <v>104</v>
      </c>
      <c r="F77" s="117"/>
      <c r="G77" s="186"/>
      <c r="H77" s="318"/>
      <c r="I77" s="190">
        <v>1.5</v>
      </c>
      <c r="J77" s="190">
        <f t="shared" si="5"/>
        <v>1.5</v>
      </c>
      <c r="K77" s="190">
        <v>2</v>
      </c>
      <c r="L77" s="190">
        <v>1.6</v>
      </c>
      <c r="M77" s="117">
        <v>85</v>
      </c>
      <c r="N77" s="117">
        <v>35</v>
      </c>
      <c r="O77" s="117">
        <v>35</v>
      </c>
      <c r="P77" s="117">
        <v>230</v>
      </c>
      <c r="Q77" s="117">
        <v>190</v>
      </c>
      <c r="R77" s="117">
        <v>15</v>
      </c>
      <c r="S77" s="117">
        <v>15</v>
      </c>
    </row>
    <row r="78" spans="1:19" ht="13.5" x14ac:dyDescent="0.25">
      <c r="A78" s="144"/>
      <c r="B78" s="193" t="str">
        <f>"RH Sweep - "&amp;FIXED(I78,2)&amp;" A/cm² - "&amp;FIXED(M78,0)&amp;"C - "&amp;FIXED(N78,0)&amp;"/"&amp;FIXED(O78,0)&amp;" %RH - "&amp;FIXED(P78,0)&amp;"\"&amp;FIXED(Q78,0)&amp;" kPa"</f>
        <v>RH Sweep - 1.50 A/cm² - 85C - 35/35 %RH - 230\190 kPa</v>
      </c>
      <c r="C78" s="117">
        <v>2</v>
      </c>
      <c r="D78" s="117">
        <v>0</v>
      </c>
      <c r="E78" s="321" t="s">
        <v>313</v>
      </c>
      <c r="F78" s="117"/>
      <c r="G78" s="186"/>
      <c r="H78" s="318"/>
      <c r="I78" s="190">
        <v>1.5</v>
      </c>
      <c r="J78" s="190">
        <f t="shared" si="5"/>
        <v>1.5</v>
      </c>
      <c r="K78" s="190">
        <v>2</v>
      </c>
      <c r="L78" s="190">
        <v>1.6</v>
      </c>
      <c r="M78" s="117">
        <v>85</v>
      </c>
      <c r="N78" s="117">
        <v>35</v>
      </c>
      <c r="O78" s="117">
        <v>35</v>
      </c>
      <c r="P78" s="117">
        <v>230</v>
      </c>
      <c r="Q78" s="117">
        <v>190</v>
      </c>
      <c r="R78" s="117">
        <v>15</v>
      </c>
      <c r="S78" s="117">
        <v>15</v>
      </c>
    </row>
    <row r="79" spans="1:19" ht="13.5" x14ac:dyDescent="0.25">
      <c r="A79" s="144"/>
      <c r="B79" s="320" t="str">
        <f>"RH Sweep - "&amp;FIXED(I79,2)&amp;" A/cm² - "&amp;FIXED(M79,0)&amp;"C - "&amp;FIXED(N79,0)&amp;"/"&amp;FIXED(O79,0)&amp;" %RH - "&amp;FIXED(P79,0)&amp;"\"&amp;FIXED(Q79,0)&amp;" kPa - Ramp LCD"</f>
        <v>RH Sweep - 0.10 A/cm² - 85C - 35/50 %RH - 230\190 kPa - Ramp LCD</v>
      </c>
      <c r="C79" s="117">
        <v>15</v>
      </c>
      <c r="D79" s="117">
        <v>10</v>
      </c>
      <c r="E79" s="159"/>
      <c r="F79" s="117"/>
      <c r="G79" s="186"/>
      <c r="H79" s="318"/>
      <c r="I79" s="190">
        <f>I80</f>
        <v>0.1</v>
      </c>
      <c r="J79" s="190">
        <f>J78</f>
        <v>1.5</v>
      </c>
      <c r="K79" s="190">
        <f>K78</f>
        <v>2</v>
      </c>
      <c r="L79" s="190">
        <f>L78</f>
        <v>1.6</v>
      </c>
      <c r="M79" s="117">
        <v>85</v>
      </c>
      <c r="N79" s="117">
        <v>35</v>
      </c>
      <c r="O79" s="117">
        <f>O80</f>
        <v>50</v>
      </c>
      <c r="P79" s="117">
        <f>P78</f>
        <v>230</v>
      </c>
      <c r="Q79" s="117">
        <f>Q78</f>
        <v>190</v>
      </c>
      <c r="R79" s="117">
        <v>2</v>
      </c>
      <c r="S79" s="117">
        <v>2</v>
      </c>
    </row>
    <row r="80" spans="1:19" ht="13.5" x14ac:dyDescent="0.25">
      <c r="A80" s="144"/>
      <c r="B80" s="320" t="str">
        <f>"RH Sweep - "&amp;FIXED(I80,2)&amp;" A/cm² - "&amp;FIXED(M80,0)&amp;"C - "&amp;FIXED(N80,0)&amp;"/"&amp;FIXED(O80,0)&amp;" %RH - "&amp;FIXED(P80,0)&amp;"\"&amp;FIXED(Q80,0)&amp;" kPa - Stabilize"</f>
        <v>RH Sweep - 0.10 A/cm² - 85C - 35/50 %RH - 120\110 kPa - Stabilize</v>
      </c>
      <c r="C80" s="117">
        <v>30</v>
      </c>
      <c r="D80" s="117">
        <v>30</v>
      </c>
      <c r="E80" s="200" t="s">
        <v>104</v>
      </c>
      <c r="F80" s="117"/>
      <c r="G80" s="186"/>
      <c r="H80" s="318"/>
      <c r="I80" s="190">
        <v>0.1</v>
      </c>
      <c r="J80" s="190">
        <f t="shared" si="5"/>
        <v>0.1</v>
      </c>
      <c r="K80" s="190">
        <v>6</v>
      </c>
      <c r="L80" s="190">
        <v>3.5</v>
      </c>
      <c r="M80" s="117">
        <v>85</v>
      </c>
      <c r="N80" s="117">
        <v>35</v>
      </c>
      <c r="O80" s="117">
        <v>50</v>
      </c>
      <c r="P80" s="117">
        <v>120</v>
      </c>
      <c r="Q80" s="117">
        <v>110</v>
      </c>
      <c r="R80" s="117">
        <v>15</v>
      </c>
      <c r="S80" s="117">
        <v>15</v>
      </c>
    </row>
    <row r="81" spans="1:19" ht="13.5" x14ac:dyDescent="0.25">
      <c r="A81" s="144"/>
      <c r="B81" s="320" t="str">
        <f>"RH Sweep - "&amp;FIXED(I81,2)&amp;" A/cm² - "&amp;FIXED(M81,0)&amp;"C - "&amp;FIXED(N81,0)&amp;"/"&amp;FIXED(O81,0)&amp;" %RH - "&amp;FIXED(P81,0)&amp;"\"&amp;FIXED(Q81,0)&amp;" kPa"</f>
        <v>RH Sweep - 0.10 A/cm² - 85C - 35/50 %RH - 120\110 kPa</v>
      </c>
      <c r="C81" s="117">
        <v>2</v>
      </c>
      <c r="D81" s="117">
        <v>0</v>
      </c>
      <c r="E81" s="321" t="s">
        <v>313</v>
      </c>
      <c r="F81" s="117"/>
      <c r="G81" s="186"/>
      <c r="H81" s="318"/>
      <c r="I81" s="190">
        <v>0.1</v>
      </c>
      <c r="J81" s="190">
        <f t="shared" si="5"/>
        <v>0.1</v>
      </c>
      <c r="K81" s="190">
        <v>6</v>
      </c>
      <c r="L81" s="190">
        <v>3.5</v>
      </c>
      <c r="M81" s="117">
        <v>85</v>
      </c>
      <c r="N81" s="117">
        <v>35</v>
      </c>
      <c r="O81" s="117">
        <v>50</v>
      </c>
      <c r="P81" s="117">
        <v>120</v>
      </c>
      <c r="Q81" s="117">
        <v>110</v>
      </c>
      <c r="R81" s="117">
        <v>15</v>
      </c>
      <c r="S81" s="117">
        <v>15</v>
      </c>
    </row>
    <row r="82" spans="1:19" ht="13.5" x14ac:dyDescent="0.25">
      <c r="A82" s="144"/>
      <c r="B82" s="193" t="str">
        <f>"RH Sweep - "&amp;FIXED(I82,2)&amp;" A/cm² - "&amp;FIXED(M82,0)&amp;"C - "&amp;FIXED(N82,0)&amp;"/"&amp;FIXED(O82,0)&amp;" %RH - "&amp;FIXED(P82,0)&amp;"\"&amp;FIXED(Q82,0)&amp;" kPa - Ramp HCD"</f>
        <v>RH Sweep - 0.10 A/cm² - 85C - 35/50 %RH - 190\190 kPa - Ramp HCD</v>
      </c>
      <c r="C82" s="117">
        <v>60</v>
      </c>
      <c r="D82" s="117">
        <v>30</v>
      </c>
      <c r="E82" s="322" t="s">
        <v>314</v>
      </c>
      <c r="F82" s="117"/>
      <c r="G82" s="186"/>
      <c r="H82" s="318"/>
      <c r="I82" s="190">
        <f>I81</f>
        <v>0.1</v>
      </c>
      <c r="J82" s="190">
        <f t="shared" ref="J82:Q82" si="7">J83</f>
        <v>1.5</v>
      </c>
      <c r="K82" s="190">
        <f t="shared" si="7"/>
        <v>2</v>
      </c>
      <c r="L82" s="190">
        <f t="shared" si="7"/>
        <v>1.6</v>
      </c>
      <c r="M82" s="117">
        <f t="shared" si="7"/>
        <v>85</v>
      </c>
      <c r="N82" s="117">
        <f t="shared" si="7"/>
        <v>35</v>
      </c>
      <c r="O82" s="117">
        <f t="shared" si="7"/>
        <v>50</v>
      </c>
      <c r="P82" s="117">
        <v>190</v>
      </c>
      <c r="Q82" s="117">
        <f t="shared" si="7"/>
        <v>190</v>
      </c>
      <c r="R82" s="117">
        <v>2</v>
      </c>
      <c r="S82" s="117">
        <v>2</v>
      </c>
    </row>
    <row r="83" spans="1:19" ht="13.5" x14ac:dyDescent="0.25">
      <c r="A83" s="144"/>
      <c r="B83" s="193" t="str">
        <f>"RH Sweep - "&amp;FIXED(I83,2)&amp;" A/cm² - "&amp;FIXED(M83,0)&amp;"C - "&amp;FIXED(N83,0)&amp;"/"&amp;FIXED(O83,0)&amp;" %RH - "&amp;FIXED(P83,0)&amp;"\"&amp;FIXED(Q83,0)&amp;" kPa - Stabilize"</f>
        <v>RH Sweep - 1.50 A/cm² - 85C - 35/50 %RH - 230\190 kPa - Stabilize</v>
      </c>
      <c r="C83" s="117">
        <v>2</v>
      </c>
      <c r="D83" s="117">
        <v>0</v>
      </c>
      <c r="E83" s="200" t="s">
        <v>104</v>
      </c>
      <c r="F83" s="117"/>
      <c r="G83" s="186"/>
      <c r="H83" s="318"/>
      <c r="I83" s="190">
        <v>1.5</v>
      </c>
      <c r="J83" s="190">
        <f t="shared" si="5"/>
        <v>1.5</v>
      </c>
      <c r="K83" s="190">
        <v>2</v>
      </c>
      <c r="L83" s="190">
        <v>1.6</v>
      </c>
      <c r="M83" s="117">
        <v>85</v>
      </c>
      <c r="N83" s="117">
        <v>35</v>
      </c>
      <c r="O83" s="117">
        <v>50</v>
      </c>
      <c r="P83" s="117">
        <v>230</v>
      </c>
      <c r="Q83" s="117">
        <v>190</v>
      </c>
      <c r="R83" s="117">
        <v>15</v>
      </c>
      <c r="S83" s="117">
        <v>15</v>
      </c>
    </row>
    <row r="84" spans="1:19" ht="13.5" x14ac:dyDescent="0.25">
      <c r="A84" s="144"/>
      <c r="B84" s="193" t="str">
        <f>"RH Sweep - "&amp;FIXED(I84,2)&amp;" A/cm² - "&amp;FIXED(M84,0)&amp;"C - "&amp;FIXED(N84,0)&amp;"/"&amp;FIXED(O84,0)&amp;" %RH - "&amp;FIXED(P84,0)&amp;"\"&amp;FIXED(Q84,0)&amp;" kPa"</f>
        <v>RH Sweep - 1.50 A/cm² - 85C - 35/50 %RH - 230\190 kPa</v>
      </c>
      <c r="C84" s="117">
        <v>2</v>
      </c>
      <c r="D84" s="117">
        <v>0</v>
      </c>
      <c r="E84" s="321" t="s">
        <v>313</v>
      </c>
      <c r="F84" s="117"/>
      <c r="G84" s="186"/>
      <c r="H84" s="318"/>
      <c r="I84" s="190">
        <v>1.5</v>
      </c>
      <c r="J84" s="190">
        <f t="shared" si="5"/>
        <v>1.5</v>
      </c>
      <c r="K84" s="190">
        <v>2</v>
      </c>
      <c r="L84" s="190">
        <v>1.6</v>
      </c>
      <c r="M84" s="117">
        <v>85</v>
      </c>
      <c r="N84" s="117">
        <v>35</v>
      </c>
      <c r="O84" s="117">
        <v>50</v>
      </c>
      <c r="P84" s="117">
        <v>230</v>
      </c>
      <c r="Q84" s="117">
        <v>190</v>
      </c>
      <c r="R84" s="117">
        <v>15</v>
      </c>
      <c r="S84" s="117">
        <v>15</v>
      </c>
    </row>
    <row r="85" spans="1:19" ht="13.5" x14ac:dyDescent="0.25">
      <c r="A85" s="144"/>
      <c r="B85" s="320" t="str">
        <f>"RH Sweep - "&amp;FIXED(I85,2)&amp;" A/cm² - "&amp;FIXED(M85,0)&amp;"C - "&amp;FIXED(N85,0)&amp;"/"&amp;FIXED(O85,0)&amp;" %RH - "&amp;FIXED(P85,0)&amp;"\"&amp;FIXED(Q85,0)&amp;" kPa - Ramp LCD"</f>
        <v>RH Sweep - 0.10 A/cm² - 85C - 35/70 %RH - 230\190 kPa - Ramp LCD</v>
      </c>
      <c r="C85" s="117">
        <v>15</v>
      </c>
      <c r="D85" s="117">
        <v>10</v>
      </c>
      <c r="E85" s="159"/>
      <c r="F85" s="117"/>
      <c r="G85" s="186"/>
      <c r="H85" s="318"/>
      <c r="I85" s="190">
        <f>I86</f>
        <v>0.1</v>
      </c>
      <c r="J85" s="190">
        <f>J84</f>
        <v>1.5</v>
      </c>
      <c r="K85" s="190">
        <f>K84</f>
        <v>2</v>
      </c>
      <c r="L85" s="190">
        <f>L84</f>
        <v>1.6</v>
      </c>
      <c r="M85" s="117">
        <v>85</v>
      </c>
      <c r="N85" s="117">
        <v>35</v>
      </c>
      <c r="O85" s="117">
        <f>O86</f>
        <v>70</v>
      </c>
      <c r="P85" s="117">
        <f>P84</f>
        <v>230</v>
      </c>
      <c r="Q85" s="117">
        <f>Q84</f>
        <v>190</v>
      </c>
      <c r="R85" s="117">
        <v>2</v>
      </c>
      <c r="S85" s="117">
        <v>2</v>
      </c>
    </row>
    <row r="86" spans="1:19" ht="13.5" x14ac:dyDescent="0.25">
      <c r="A86" s="144"/>
      <c r="B86" s="320" t="str">
        <f>"RH Sweep - "&amp;FIXED(I86,2)&amp;" A/cm² - "&amp;FIXED(M86,0)&amp;"C - "&amp;FIXED(N86,0)&amp;"/"&amp;FIXED(O86,0)&amp;" %RH - "&amp;FIXED(P86,0)&amp;"\"&amp;FIXED(Q86,0)&amp;" kPa - Stabilize"</f>
        <v>RH Sweep - 0.10 A/cm² - 85C - 35/70 %RH - 120\110 kPa - Stabilize</v>
      </c>
      <c r="C86" s="117">
        <v>30</v>
      </c>
      <c r="D86" s="117">
        <v>30</v>
      </c>
      <c r="E86" s="200" t="s">
        <v>104</v>
      </c>
      <c r="F86" s="117"/>
      <c r="G86" s="186"/>
      <c r="H86" s="318"/>
      <c r="I86" s="190">
        <v>0.1</v>
      </c>
      <c r="J86" s="190">
        <f t="shared" si="5"/>
        <v>0.1</v>
      </c>
      <c r="K86" s="190">
        <v>6</v>
      </c>
      <c r="L86" s="190">
        <v>3.5</v>
      </c>
      <c r="M86" s="117">
        <v>85</v>
      </c>
      <c r="N86" s="117">
        <v>35</v>
      </c>
      <c r="O86" s="117">
        <v>70</v>
      </c>
      <c r="P86" s="117">
        <v>120</v>
      </c>
      <c r="Q86" s="117">
        <v>110</v>
      </c>
      <c r="R86" s="117">
        <v>15</v>
      </c>
      <c r="S86" s="117">
        <v>15</v>
      </c>
    </row>
    <row r="87" spans="1:19" ht="13.5" x14ac:dyDescent="0.25">
      <c r="A87" s="144"/>
      <c r="B87" s="320" t="str">
        <f>"RH Sweep - "&amp;FIXED(I87,2)&amp;" A/cm² - "&amp;FIXED(M87,0)&amp;"C - "&amp;FIXED(N87,0)&amp;"/"&amp;FIXED(O87,0)&amp;" %RH - "&amp;FIXED(P87,0)&amp;"\"&amp;FIXED(Q87,0)&amp;" kPa"</f>
        <v>RH Sweep - 0.10 A/cm² - 85C - 35/70 %RH - 120\110 kPa</v>
      </c>
      <c r="C87" s="117">
        <v>2</v>
      </c>
      <c r="D87" s="117">
        <v>0</v>
      </c>
      <c r="E87" s="321" t="s">
        <v>313</v>
      </c>
      <c r="F87" s="117"/>
      <c r="G87" s="186"/>
      <c r="H87" s="318"/>
      <c r="I87" s="190">
        <v>0.1</v>
      </c>
      <c r="J87" s="190">
        <f t="shared" si="5"/>
        <v>0.1</v>
      </c>
      <c r="K87" s="190">
        <v>6</v>
      </c>
      <c r="L87" s="190">
        <v>3.5</v>
      </c>
      <c r="M87" s="117">
        <v>85</v>
      </c>
      <c r="N87" s="117">
        <v>35</v>
      </c>
      <c r="O87" s="117">
        <v>70</v>
      </c>
      <c r="P87" s="117">
        <v>120</v>
      </c>
      <c r="Q87" s="117">
        <v>110</v>
      </c>
      <c r="R87" s="117">
        <v>15</v>
      </c>
      <c r="S87" s="117">
        <v>15</v>
      </c>
    </row>
    <row r="88" spans="1:19" ht="13.5" x14ac:dyDescent="0.25">
      <c r="A88" s="144"/>
      <c r="B88" s="193" t="str">
        <f>"RH Sweep - "&amp;FIXED(I88,2)&amp;" A/cm² - "&amp;FIXED(M88,0)&amp;"C - "&amp;FIXED(N88,0)&amp;"/"&amp;FIXED(O88,0)&amp;" %RH - "&amp;FIXED(P88,0)&amp;"\"&amp;FIXED(Q88,0)&amp;" kPa - Ramp HCD"</f>
        <v>RH Sweep - 0.10 A/cm² - 85C - 35/70 %RH - 190\190 kPa - Ramp HCD</v>
      </c>
      <c r="C88" s="117">
        <v>60</v>
      </c>
      <c r="D88" s="117">
        <v>30</v>
      </c>
      <c r="E88" s="322" t="s">
        <v>314</v>
      </c>
      <c r="F88" s="117"/>
      <c r="G88" s="186"/>
      <c r="H88" s="318"/>
      <c r="I88" s="190">
        <f>I87</f>
        <v>0.1</v>
      </c>
      <c r="J88" s="190">
        <f t="shared" ref="J88:Q88" si="8">J89</f>
        <v>1.5</v>
      </c>
      <c r="K88" s="190">
        <f t="shared" si="8"/>
        <v>2</v>
      </c>
      <c r="L88" s="190">
        <f t="shared" si="8"/>
        <v>1.6</v>
      </c>
      <c r="M88" s="117">
        <f t="shared" si="8"/>
        <v>85</v>
      </c>
      <c r="N88" s="117">
        <f t="shared" si="8"/>
        <v>35</v>
      </c>
      <c r="O88" s="117">
        <f t="shared" si="8"/>
        <v>70</v>
      </c>
      <c r="P88" s="117">
        <v>190</v>
      </c>
      <c r="Q88" s="117">
        <f t="shared" si="8"/>
        <v>190</v>
      </c>
      <c r="R88" s="117">
        <v>2</v>
      </c>
      <c r="S88" s="117">
        <v>2</v>
      </c>
    </row>
    <row r="89" spans="1:19" ht="13.5" x14ac:dyDescent="0.25">
      <c r="A89" s="144"/>
      <c r="B89" s="193" t="str">
        <f>"RH Sweep - "&amp;FIXED(I89,2)&amp;" A/cm² - "&amp;FIXED(M89,0)&amp;"C - "&amp;FIXED(N89,0)&amp;"/"&amp;FIXED(O89,0)&amp;" %RH - "&amp;FIXED(P89,0)&amp;"\"&amp;FIXED(Q89,0)&amp;" kPa - Stabilize"</f>
        <v>RH Sweep - 1.50 A/cm² - 85C - 35/70 %RH - 230\190 kPa - Stabilize</v>
      </c>
      <c r="C89" s="117">
        <v>2</v>
      </c>
      <c r="D89" s="117">
        <v>0</v>
      </c>
      <c r="E89" s="200" t="s">
        <v>104</v>
      </c>
      <c r="F89" s="117"/>
      <c r="G89" s="186"/>
      <c r="H89" s="318"/>
      <c r="I89" s="190">
        <v>1.5</v>
      </c>
      <c r="J89" s="190">
        <f t="shared" si="5"/>
        <v>1.5</v>
      </c>
      <c r="K89" s="190">
        <v>2</v>
      </c>
      <c r="L89" s="190">
        <v>1.6</v>
      </c>
      <c r="M89" s="117">
        <v>85</v>
      </c>
      <c r="N89" s="117">
        <v>35</v>
      </c>
      <c r="O89" s="117">
        <v>70</v>
      </c>
      <c r="P89" s="117">
        <v>230</v>
      </c>
      <c r="Q89" s="117">
        <v>190</v>
      </c>
      <c r="R89" s="117">
        <v>15</v>
      </c>
      <c r="S89" s="117">
        <v>15</v>
      </c>
    </row>
    <row r="90" spans="1:19" ht="13.5" x14ac:dyDescent="0.25">
      <c r="A90" s="144"/>
      <c r="B90" s="193" t="str">
        <f>"RH Sweep - "&amp;FIXED(I90,2)&amp;" A/cm² - "&amp;FIXED(M90,0)&amp;"C - "&amp;FIXED(N90,0)&amp;"/"&amp;FIXED(O90,0)&amp;" %RH - "&amp;FIXED(P90,0)&amp;"\"&amp;FIXED(Q90,0)&amp;" kPa"</f>
        <v>RH Sweep - 1.50 A/cm² - 85C - 35/70 %RH - 230\190 kPa</v>
      </c>
      <c r="C90" s="117">
        <v>2</v>
      </c>
      <c r="D90" s="117">
        <v>0</v>
      </c>
      <c r="E90" s="321" t="s">
        <v>313</v>
      </c>
      <c r="F90" s="117"/>
      <c r="G90" s="186"/>
      <c r="H90" s="318"/>
      <c r="I90" s="190">
        <v>1.5</v>
      </c>
      <c r="J90" s="190">
        <f t="shared" si="5"/>
        <v>1.5</v>
      </c>
      <c r="K90" s="190">
        <v>2</v>
      </c>
      <c r="L90" s="190">
        <v>1.6</v>
      </c>
      <c r="M90" s="117">
        <v>85</v>
      </c>
      <c r="N90" s="117">
        <v>35</v>
      </c>
      <c r="O90" s="117">
        <v>70</v>
      </c>
      <c r="P90" s="117">
        <v>230</v>
      </c>
      <c r="Q90" s="117">
        <v>190</v>
      </c>
      <c r="R90" s="117">
        <v>15</v>
      </c>
      <c r="S90" s="117">
        <v>15</v>
      </c>
    </row>
    <row r="91" spans="1:19" ht="13.5" x14ac:dyDescent="0.25">
      <c r="A91" s="144"/>
      <c r="B91" s="320" t="str">
        <f>"RH Sweep - "&amp;FIXED(I91,2)&amp;" A/cm² - "&amp;FIXED(M91,0)&amp;"C - "&amp;FIXED(N91,0)&amp;"/"&amp;FIXED(O91,0)&amp;" %RH - "&amp;FIXED(P91,0)&amp;"\"&amp;FIXED(Q91,0)&amp;" kPa - Ramp LCD"</f>
        <v>RH Sweep - 0.10 A/cm² - 85C - 35/90 %RH - 230\190 kPa - Ramp LCD</v>
      </c>
      <c r="C91" s="117">
        <v>15</v>
      </c>
      <c r="D91" s="117">
        <v>10</v>
      </c>
      <c r="E91" s="159"/>
      <c r="F91" s="117"/>
      <c r="G91" s="186"/>
      <c r="H91" s="318"/>
      <c r="I91" s="190">
        <f>I92</f>
        <v>0.1</v>
      </c>
      <c r="J91" s="190">
        <f>J90</f>
        <v>1.5</v>
      </c>
      <c r="K91" s="190">
        <f>K90</f>
        <v>2</v>
      </c>
      <c r="L91" s="190">
        <f>L90</f>
        <v>1.6</v>
      </c>
      <c r="M91" s="117">
        <v>85</v>
      </c>
      <c r="N91" s="117">
        <v>35</v>
      </c>
      <c r="O91" s="117">
        <f>O92</f>
        <v>90</v>
      </c>
      <c r="P91" s="117">
        <f>P90</f>
        <v>230</v>
      </c>
      <c r="Q91" s="117">
        <f>Q90</f>
        <v>190</v>
      </c>
      <c r="R91" s="117">
        <v>2</v>
      </c>
      <c r="S91" s="117">
        <v>2</v>
      </c>
    </row>
    <row r="92" spans="1:19" ht="13.5" x14ac:dyDescent="0.25">
      <c r="A92" s="144"/>
      <c r="B92" s="320" t="str">
        <f>"RH Sweep - "&amp;FIXED(I92,2)&amp;" A/cm² - "&amp;FIXED(M92,0)&amp;"C - "&amp;FIXED(N92,0)&amp;"/"&amp;FIXED(O92,0)&amp;" %RH - "&amp;FIXED(P92,0)&amp;"\"&amp;FIXED(Q92,0)&amp;" kPa - Stabilize"</f>
        <v>RH Sweep - 0.10 A/cm² - 85C - 35/90 %RH - 120\110 kPa - Stabilize</v>
      </c>
      <c r="C92" s="117">
        <v>30</v>
      </c>
      <c r="D92" s="117">
        <v>30</v>
      </c>
      <c r="E92" s="200" t="s">
        <v>104</v>
      </c>
      <c r="F92" s="117"/>
      <c r="G92" s="186"/>
      <c r="H92" s="318"/>
      <c r="I92" s="190">
        <v>0.1</v>
      </c>
      <c r="J92" s="190">
        <f t="shared" si="5"/>
        <v>0.1</v>
      </c>
      <c r="K92" s="190">
        <v>6</v>
      </c>
      <c r="L92" s="190">
        <v>3.5</v>
      </c>
      <c r="M92" s="117">
        <v>85</v>
      </c>
      <c r="N92" s="117">
        <v>35</v>
      </c>
      <c r="O92" s="117">
        <v>90</v>
      </c>
      <c r="P92" s="117">
        <v>120</v>
      </c>
      <c r="Q92" s="117">
        <v>110</v>
      </c>
      <c r="R92" s="117">
        <v>15</v>
      </c>
      <c r="S92" s="117">
        <v>15</v>
      </c>
    </row>
    <row r="93" spans="1:19" ht="13.5" x14ac:dyDescent="0.25">
      <c r="A93" s="144"/>
      <c r="B93" s="320" t="str">
        <f>"RH Sweep - "&amp;FIXED(I93,2)&amp;" A/cm² - "&amp;FIXED(M93,0)&amp;"C - "&amp;FIXED(N93,0)&amp;"/"&amp;FIXED(O93,0)&amp;" %RH - "&amp;FIXED(P93,0)&amp;"\"&amp;FIXED(Q93,0)&amp;" kPa"</f>
        <v>RH Sweep - 0.10 A/cm² - 85C - 35/90 %RH - 120\110 kPa</v>
      </c>
      <c r="C93" s="117">
        <v>2</v>
      </c>
      <c r="D93" s="117">
        <v>0</v>
      </c>
      <c r="E93" s="321" t="s">
        <v>313</v>
      </c>
      <c r="F93" s="117"/>
      <c r="G93" s="186"/>
      <c r="H93" s="318"/>
      <c r="I93" s="190">
        <v>0.1</v>
      </c>
      <c r="J93" s="190">
        <f t="shared" si="5"/>
        <v>0.1</v>
      </c>
      <c r="K93" s="190">
        <v>6</v>
      </c>
      <c r="L93" s="190">
        <v>3.5</v>
      </c>
      <c r="M93" s="117">
        <v>85</v>
      </c>
      <c r="N93" s="117">
        <v>35</v>
      </c>
      <c r="O93" s="117">
        <v>90</v>
      </c>
      <c r="P93" s="117">
        <v>120</v>
      </c>
      <c r="Q93" s="117">
        <v>110</v>
      </c>
      <c r="R93" s="117">
        <v>15</v>
      </c>
      <c r="S93" s="117">
        <v>15</v>
      </c>
    </row>
    <row r="94" spans="1:19" ht="13.5" x14ac:dyDescent="0.25">
      <c r="A94" s="144"/>
      <c r="B94" s="193" t="str">
        <f>"RH Sweep - "&amp;FIXED(I94,2)&amp;" A/cm² - "&amp;FIXED(M94,0)&amp;"C - "&amp;FIXED(N94,0)&amp;"/"&amp;FIXED(O94,0)&amp;" %RH - "&amp;FIXED(P94,0)&amp;"\"&amp;FIXED(Q94,0)&amp;" kPa - Ramp HCD"</f>
        <v>RH Sweep - 0.10 A/cm² - 85C - 35/90 %RH - 190\190 kPa - Ramp HCD</v>
      </c>
      <c r="C94" s="117">
        <v>60</v>
      </c>
      <c r="D94" s="117">
        <v>30</v>
      </c>
      <c r="E94" s="322" t="s">
        <v>314</v>
      </c>
      <c r="F94" s="117"/>
      <c r="G94" s="186"/>
      <c r="H94" s="318"/>
      <c r="I94" s="190">
        <f>I93</f>
        <v>0.1</v>
      </c>
      <c r="J94" s="190">
        <f t="shared" ref="J94:Q94" si="9">J95</f>
        <v>1.5</v>
      </c>
      <c r="K94" s="190">
        <f t="shared" si="9"/>
        <v>2</v>
      </c>
      <c r="L94" s="190">
        <f t="shared" si="9"/>
        <v>1.6</v>
      </c>
      <c r="M94" s="117">
        <f t="shared" si="9"/>
        <v>85</v>
      </c>
      <c r="N94" s="117">
        <f t="shared" si="9"/>
        <v>35</v>
      </c>
      <c r="O94" s="117">
        <f t="shared" si="9"/>
        <v>90</v>
      </c>
      <c r="P94" s="117">
        <v>190</v>
      </c>
      <c r="Q94" s="117">
        <f t="shared" si="9"/>
        <v>190</v>
      </c>
      <c r="R94" s="117">
        <v>2</v>
      </c>
      <c r="S94" s="117">
        <v>2</v>
      </c>
    </row>
    <row r="95" spans="1:19" ht="13.5" x14ac:dyDescent="0.25">
      <c r="A95" s="144"/>
      <c r="B95" s="193" t="str">
        <f>"RH Sweep - "&amp;FIXED(I95,2)&amp;" A/cm² - "&amp;FIXED(M95,0)&amp;"C - "&amp;FIXED(N95,0)&amp;"/"&amp;FIXED(O95,0)&amp;" %RH - "&amp;FIXED(P95,0)&amp;"\"&amp;FIXED(Q95,0)&amp;" kPa - Stabilize"</f>
        <v>RH Sweep - 1.50 A/cm² - 85C - 35/90 %RH - 230\190 kPa - Stabilize</v>
      </c>
      <c r="C95" s="117">
        <v>2</v>
      </c>
      <c r="D95" s="117">
        <v>0</v>
      </c>
      <c r="E95" s="200" t="s">
        <v>104</v>
      </c>
      <c r="F95" s="117"/>
      <c r="G95" s="186"/>
      <c r="H95" s="318"/>
      <c r="I95" s="190">
        <v>1.5</v>
      </c>
      <c r="J95" s="190">
        <f t="shared" si="5"/>
        <v>1.5</v>
      </c>
      <c r="K95" s="190">
        <v>2</v>
      </c>
      <c r="L95" s="190">
        <v>1.6</v>
      </c>
      <c r="M95" s="117">
        <v>85</v>
      </c>
      <c r="N95" s="117">
        <v>35</v>
      </c>
      <c r="O95" s="117">
        <v>90</v>
      </c>
      <c r="P95" s="117">
        <v>230</v>
      </c>
      <c r="Q95" s="117">
        <v>190</v>
      </c>
      <c r="R95" s="117">
        <v>15</v>
      </c>
      <c r="S95" s="117">
        <v>15</v>
      </c>
    </row>
    <row r="96" spans="1:19" ht="13.5" x14ac:dyDescent="0.25">
      <c r="A96" s="144"/>
      <c r="B96" s="193" t="str">
        <f>"RH Sweep - "&amp;FIXED(I96,2)&amp;" A/cm² - "&amp;FIXED(M96,0)&amp;"C - "&amp;FIXED(N96,0)&amp;"/"&amp;FIXED(O96,0)&amp;" %RH - "&amp;FIXED(P96,0)&amp;"\"&amp;FIXED(Q96,0)&amp;" kPa"</f>
        <v>RH Sweep - 1.50 A/cm² - 85C - 35/90 %RH - 230\190 kPa</v>
      </c>
      <c r="C96" s="117">
        <v>2</v>
      </c>
      <c r="D96" s="117">
        <v>0</v>
      </c>
      <c r="E96" s="321" t="s">
        <v>313</v>
      </c>
      <c r="F96" s="117"/>
      <c r="G96" s="186"/>
      <c r="H96" s="318"/>
      <c r="I96" s="190">
        <v>1.5</v>
      </c>
      <c r="J96" s="190">
        <f t="shared" si="5"/>
        <v>1.5</v>
      </c>
      <c r="K96" s="190">
        <v>2</v>
      </c>
      <c r="L96" s="190">
        <v>1.6</v>
      </c>
      <c r="M96" s="117">
        <v>85</v>
      </c>
      <c r="N96" s="117">
        <v>35</v>
      </c>
      <c r="O96" s="117">
        <v>90</v>
      </c>
      <c r="P96" s="117">
        <v>230</v>
      </c>
      <c r="Q96" s="117">
        <v>190</v>
      </c>
      <c r="R96" s="117">
        <v>15</v>
      </c>
      <c r="S96" s="117">
        <v>15</v>
      </c>
    </row>
    <row r="97" spans="1:19" ht="13.5" x14ac:dyDescent="0.25">
      <c r="A97" s="144"/>
      <c r="B97" s="320" t="str">
        <f>"RH Sweep - "&amp;FIXED(I97,2)&amp;" A/cm² - "&amp;FIXED(M97,0)&amp;"C - "&amp;FIXED(N97,0)&amp;"/"&amp;FIXED(O97,0)&amp;" %RH - "&amp;FIXED(P97,0)&amp;"\"&amp;FIXED(Q97,0)&amp;" kPa - Ramp LCD"</f>
        <v>RH Sweep - 0.10 A/cm² - 85C - 35/110 %RH - 230\190 kPa - Ramp LCD</v>
      </c>
      <c r="C97" s="117">
        <v>15</v>
      </c>
      <c r="D97" s="117">
        <v>10</v>
      </c>
      <c r="E97" s="159"/>
      <c r="F97" s="117"/>
      <c r="G97" s="186"/>
      <c r="H97" s="318"/>
      <c r="I97" s="190">
        <f>I98</f>
        <v>0.1</v>
      </c>
      <c r="J97" s="190">
        <f>J96</f>
        <v>1.5</v>
      </c>
      <c r="K97" s="190">
        <f>K96</f>
        <v>2</v>
      </c>
      <c r="L97" s="190">
        <f>L96</f>
        <v>1.6</v>
      </c>
      <c r="M97" s="117">
        <v>85</v>
      </c>
      <c r="N97" s="117">
        <v>35</v>
      </c>
      <c r="O97" s="117">
        <f>O98</f>
        <v>110</v>
      </c>
      <c r="P97" s="117">
        <f>P96</f>
        <v>230</v>
      </c>
      <c r="Q97" s="117">
        <f>Q96</f>
        <v>190</v>
      </c>
      <c r="R97" s="117">
        <v>2</v>
      </c>
      <c r="S97" s="117">
        <v>2</v>
      </c>
    </row>
    <row r="98" spans="1:19" ht="13.5" x14ac:dyDescent="0.25">
      <c r="A98" s="144"/>
      <c r="B98" s="320" t="str">
        <f>"RH Sweep - "&amp;FIXED(I98,2)&amp;" A/cm² - "&amp;FIXED(M98,0)&amp;"C - "&amp;FIXED(N98,0)&amp;"/"&amp;FIXED(O98,0)&amp;" %RH - "&amp;FIXED(P98,0)&amp;"\"&amp;FIXED(Q98,0)&amp;" kPa - Stabilize"</f>
        <v>RH Sweep - 0.10 A/cm² - 85C - 35/110 %RH - 120\110 kPa - Stabilize</v>
      </c>
      <c r="C98" s="117">
        <v>30</v>
      </c>
      <c r="D98" s="117">
        <v>30</v>
      </c>
      <c r="E98" s="200" t="s">
        <v>104</v>
      </c>
      <c r="F98" s="117"/>
      <c r="G98" s="186"/>
      <c r="H98" s="318"/>
      <c r="I98" s="190">
        <v>0.1</v>
      </c>
      <c r="J98" s="190">
        <f t="shared" si="5"/>
        <v>0.1</v>
      </c>
      <c r="K98" s="190">
        <v>6</v>
      </c>
      <c r="L98" s="190">
        <v>3.5</v>
      </c>
      <c r="M98" s="117">
        <v>85</v>
      </c>
      <c r="N98" s="117">
        <v>35</v>
      </c>
      <c r="O98" s="117">
        <v>110</v>
      </c>
      <c r="P98" s="117">
        <v>120</v>
      </c>
      <c r="Q98" s="117">
        <v>110</v>
      </c>
      <c r="R98" s="117">
        <v>15</v>
      </c>
      <c r="S98" s="117">
        <v>15</v>
      </c>
    </row>
    <row r="99" spans="1:19" ht="13.5" x14ac:dyDescent="0.25">
      <c r="A99" s="144"/>
      <c r="B99" s="320" t="str">
        <f>"RH Sweep - "&amp;FIXED(I99,2)&amp;" A/cm² - "&amp;FIXED(M99,0)&amp;"C - "&amp;FIXED(N99,0)&amp;"/"&amp;FIXED(O99,0)&amp;" %RH - "&amp;FIXED(P99,0)&amp;"\"&amp;FIXED(Q99,0)&amp;" kPa"</f>
        <v>RH Sweep - 0.10 A/cm² - 85C - 35/110 %RH - 120\110 kPa</v>
      </c>
      <c r="C99" s="117">
        <v>2</v>
      </c>
      <c r="D99" s="117">
        <v>0</v>
      </c>
      <c r="E99" s="321" t="s">
        <v>313</v>
      </c>
      <c r="F99" s="117"/>
      <c r="G99" s="186"/>
      <c r="H99" s="318"/>
      <c r="I99" s="190">
        <v>0.1</v>
      </c>
      <c r="J99" s="190">
        <f t="shared" si="5"/>
        <v>0.1</v>
      </c>
      <c r="K99" s="190">
        <v>6</v>
      </c>
      <c r="L99" s="190">
        <v>3.5</v>
      </c>
      <c r="M99" s="117">
        <v>85</v>
      </c>
      <c r="N99" s="117">
        <v>35</v>
      </c>
      <c r="O99" s="117">
        <v>110</v>
      </c>
      <c r="P99" s="117">
        <v>120</v>
      </c>
      <c r="Q99" s="117">
        <v>110</v>
      </c>
      <c r="R99" s="117">
        <v>15</v>
      </c>
      <c r="S99" s="117">
        <v>15</v>
      </c>
    </row>
    <row r="100" spans="1:19" ht="13.5" x14ac:dyDescent="0.25">
      <c r="A100" s="144"/>
      <c r="B100" s="193" t="str">
        <f>"RH Sweep - "&amp;FIXED(I100,2)&amp;" A/cm² - "&amp;FIXED(M100,0)&amp;"C - "&amp;FIXED(N100,0)&amp;"/"&amp;FIXED(O100,0)&amp;" %RH - "&amp;FIXED(P100,0)&amp;"\"&amp;FIXED(Q100,0)&amp;" kPa - Ramp HCD"</f>
        <v>RH Sweep - 0.10 A/cm² - 85C - 35/110 %RH - 190\190 kPa - Ramp HCD</v>
      </c>
      <c r="C100" s="117">
        <v>60</v>
      </c>
      <c r="D100" s="117">
        <v>30</v>
      </c>
      <c r="E100" s="322" t="s">
        <v>314</v>
      </c>
      <c r="F100" s="117"/>
      <c r="G100" s="186"/>
      <c r="H100" s="318"/>
      <c r="I100" s="190">
        <f>I99</f>
        <v>0.1</v>
      </c>
      <c r="J100" s="190">
        <f t="shared" ref="J100:Q100" si="10">J101</f>
        <v>1.5</v>
      </c>
      <c r="K100" s="190">
        <f t="shared" si="10"/>
        <v>2</v>
      </c>
      <c r="L100" s="190">
        <f t="shared" si="10"/>
        <v>1.6</v>
      </c>
      <c r="M100" s="117">
        <f t="shared" si="10"/>
        <v>85</v>
      </c>
      <c r="N100" s="117">
        <f t="shared" si="10"/>
        <v>35</v>
      </c>
      <c r="O100" s="117">
        <f t="shared" si="10"/>
        <v>110</v>
      </c>
      <c r="P100" s="117">
        <v>190</v>
      </c>
      <c r="Q100" s="117">
        <f t="shared" si="10"/>
        <v>190</v>
      </c>
      <c r="R100" s="117">
        <v>2</v>
      </c>
      <c r="S100" s="117">
        <v>2</v>
      </c>
    </row>
    <row r="101" spans="1:19" ht="13.5" x14ac:dyDescent="0.25">
      <c r="A101" s="144"/>
      <c r="B101" s="193" t="str">
        <f>"RH Sweep - "&amp;FIXED(I101,2)&amp;" A/cm² - "&amp;FIXED(M101,0)&amp;"C - "&amp;FIXED(N101,0)&amp;"/"&amp;FIXED(O101,0)&amp;" %RH - "&amp;FIXED(P101,0)&amp;"\"&amp;FIXED(Q101,0)&amp;" kPa - Stabilize"</f>
        <v>RH Sweep - 1.50 A/cm² - 85C - 35/110 %RH - 230\190 kPa - Stabilize</v>
      </c>
      <c r="C101" s="117">
        <v>2</v>
      </c>
      <c r="D101" s="117">
        <v>0</v>
      </c>
      <c r="E101" s="200" t="s">
        <v>104</v>
      </c>
      <c r="F101" s="117"/>
      <c r="G101" s="186"/>
      <c r="H101" s="318"/>
      <c r="I101" s="190">
        <v>1.5</v>
      </c>
      <c r="J101" s="190">
        <f t="shared" si="5"/>
        <v>1.5</v>
      </c>
      <c r="K101" s="190">
        <v>2</v>
      </c>
      <c r="L101" s="190">
        <v>1.6</v>
      </c>
      <c r="M101" s="117">
        <v>85</v>
      </c>
      <c r="N101" s="117">
        <v>35</v>
      </c>
      <c r="O101" s="117">
        <v>110</v>
      </c>
      <c r="P101" s="117">
        <v>230</v>
      </c>
      <c r="Q101" s="117">
        <v>190</v>
      </c>
      <c r="R101" s="117">
        <v>15</v>
      </c>
      <c r="S101" s="117">
        <v>15</v>
      </c>
    </row>
    <row r="102" spans="1:19" ht="13.5" x14ac:dyDescent="0.25">
      <c r="A102" s="144"/>
      <c r="B102" s="193" t="str">
        <f>"RH Sweep - "&amp;FIXED(I102,2)&amp;" A/cm² - "&amp;FIXED(M102,0)&amp;"C - "&amp;FIXED(N102,0)&amp;"/"&amp;FIXED(O102,0)&amp;" %RH - "&amp;FIXED(P102,0)&amp;"\"&amp;FIXED(Q102,0)&amp;" kPa"</f>
        <v>RH Sweep - 1.50 A/cm² - 85C - 35/110 %RH - 230\190 kPa</v>
      </c>
      <c r="C102" s="117">
        <v>2</v>
      </c>
      <c r="D102" s="117">
        <v>0</v>
      </c>
      <c r="E102" s="321" t="s">
        <v>313</v>
      </c>
      <c r="F102" s="117"/>
      <c r="G102" s="186"/>
      <c r="H102" s="318"/>
      <c r="I102" s="190">
        <v>1.5</v>
      </c>
      <c r="J102" s="190">
        <f t="shared" si="5"/>
        <v>1.5</v>
      </c>
      <c r="K102" s="190">
        <v>2</v>
      </c>
      <c r="L102" s="190">
        <v>1.6</v>
      </c>
      <c r="M102" s="117">
        <v>85</v>
      </c>
      <c r="N102" s="117">
        <v>35</v>
      </c>
      <c r="O102" s="117">
        <v>110</v>
      </c>
      <c r="P102" s="117">
        <v>230</v>
      </c>
      <c r="Q102" s="117">
        <v>190</v>
      </c>
      <c r="R102" s="117">
        <v>15</v>
      </c>
      <c r="S102" s="117">
        <v>15</v>
      </c>
    </row>
    <row r="103" spans="1:19" ht="13.5" x14ac:dyDescent="0.25">
      <c r="A103" s="144"/>
      <c r="B103" s="133" t="s">
        <v>318</v>
      </c>
      <c r="C103" s="117">
        <v>150</v>
      </c>
      <c r="D103" s="117">
        <v>10</v>
      </c>
      <c r="E103" s="159"/>
      <c r="F103" s="117" t="s">
        <v>90</v>
      </c>
      <c r="G103" s="186" t="s">
        <v>24</v>
      </c>
      <c r="H103" s="318">
        <v>0.85</v>
      </c>
      <c r="I103" s="190">
        <v>0</v>
      </c>
      <c r="J103" s="190">
        <v>1.5</v>
      </c>
      <c r="K103" s="190">
        <v>2</v>
      </c>
      <c r="L103" s="190">
        <v>2</v>
      </c>
      <c r="M103" s="117">
        <v>70</v>
      </c>
      <c r="N103" s="117">
        <v>65</v>
      </c>
      <c r="O103" s="117">
        <v>65</v>
      </c>
      <c r="P103" s="117">
        <v>150</v>
      </c>
      <c r="Q103" s="117">
        <v>150</v>
      </c>
      <c r="R103" s="117">
        <v>15</v>
      </c>
      <c r="S103" s="117">
        <v>15</v>
      </c>
    </row>
    <row r="104" spans="1:19" s="125" customFormat="1" x14ac:dyDescent="0.2"/>
    <row r="105" spans="1:19" x14ac:dyDescent="0.2">
      <c r="A105" s="137" t="s">
        <v>30</v>
      </c>
      <c r="B105" s="323" t="s">
        <v>31</v>
      </c>
      <c r="C105" s="319" t="s">
        <v>311</v>
      </c>
      <c r="D105" s="125"/>
      <c r="E105" s="125"/>
      <c r="F105" s="133"/>
      <c r="G105" s="133"/>
      <c r="H105" s="133"/>
      <c r="I105" s="133"/>
      <c r="J105" s="133"/>
      <c r="K105" s="133"/>
      <c r="L105" s="133"/>
      <c r="P105" s="133"/>
      <c r="Q105" s="133"/>
      <c r="R105" s="133"/>
      <c r="S105" s="133"/>
    </row>
    <row r="106" spans="1:19" x14ac:dyDescent="0.2">
      <c r="A106" s="137"/>
      <c r="B106" s="324" t="s">
        <v>8</v>
      </c>
      <c r="C106" s="324" t="s">
        <v>32</v>
      </c>
      <c r="D106" s="125"/>
      <c r="E106" s="125"/>
      <c r="F106" s="133"/>
      <c r="G106" s="133"/>
      <c r="H106" s="133"/>
      <c r="I106" s="133"/>
      <c r="J106" s="133"/>
      <c r="K106" s="133"/>
      <c r="L106" s="133"/>
      <c r="P106" s="133"/>
      <c r="Q106" s="133"/>
      <c r="R106" s="133"/>
      <c r="S106" s="133"/>
    </row>
    <row r="107" spans="1:19" x14ac:dyDescent="0.2">
      <c r="A107" s="137"/>
      <c r="B107" s="324" t="s">
        <v>45</v>
      </c>
      <c r="C107" s="324" t="s">
        <v>46</v>
      </c>
      <c r="D107" s="125"/>
      <c r="E107" s="125"/>
      <c r="F107" s="133"/>
      <c r="G107" s="133"/>
      <c r="H107" s="133"/>
      <c r="I107" s="133"/>
      <c r="J107" s="133"/>
      <c r="K107" s="133"/>
      <c r="L107" s="133"/>
      <c r="P107" s="133"/>
      <c r="Q107" s="133"/>
      <c r="R107" s="133"/>
      <c r="S107" s="133"/>
    </row>
    <row r="108" spans="1:19" x14ac:dyDescent="0.2">
      <c r="A108" s="137"/>
      <c r="B108" s="324" t="s">
        <v>17</v>
      </c>
      <c r="C108" s="324">
        <v>300</v>
      </c>
      <c r="D108" s="152"/>
      <c r="E108" s="125"/>
      <c r="F108" s="133"/>
      <c r="G108" s="133"/>
      <c r="H108" s="133"/>
      <c r="I108" s="133"/>
      <c r="J108" s="133"/>
      <c r="K108" s="133"/>
      <c r="L108" s="133"/>
      <c r="P108" s="133"/>
      <c r="Q108" s="133"/>
      <c r="R108" s="133"/>
      <c r="S108" s="133"/>
    </row>
    <row r="109" spans="1:19" x14ac:dyDescent="0.2">
      <c r="A109" s="137"/>
      <c r="B109" s="324" t="s">
        <v>34</v>
      </c>
      <c r="C109" s="324" t="s">
        <v>41</v>
      </c>
      <c r="D109" s="125"/>
      <c r="E109" s="125"/>
      <c r="F109" s="133"/>
      <c r="G109" s="133"/>
      <c r="H109" s="133"/>
      <c r="I109" s="133"/>
      <c r="J109" s="133"/>
      <c r="K109" s="133"/>
      <c r="L109" s="133"/>
      <c r="P109" s="133"/>
      <c r="Q109" s="133"/>
      <c r="R109" s="133"/>
      <c r="S109" s="133"/>
    </row>
    <row r="110" spans="1:19" x14ac:dyDescent="0.2">
      <c r="A110" s="137"/>
      <c r="B110" s="324" t="s">
        <v>164</v>
      </c>
      <c r="C110" s="325">
        <v>0.1</v>
      </c>
      <c r="D110" s="125"/>
      <c r="E110" s="125"/>
      <c r="F110" s="133"/>
      <c r="G110" s="133"/>
      <c r="H110" s="133"/>
      <c r="I110" s="133"/>
      <c r="J110" s="133"/>
      <c r="K110" s="133"/>
      <c r="L110" s="133"/>
      <c r="P110" s="133"/>
      <c r="Q110" s="133"/>
      <c r="R110" s="133"/>
      <c r="S110" s="133"/>
    </row>
    <row r="111" spans="1:19" x14ac:dyDescent="0.2">
      <c r="A111" s="137"/>
      <c r="B111" s="324"/>
      <c r="C111" s="325"/>
      <c r="D111" s="125"/>
      <c r="E111" s="125"/>
      <c r="F111" s="133"/>
      <c r="G111" s="133"/>
      <c r="H111" s="133"/>
      <c r="I111" s="133"/>
      <c r="J111" s="133"/>
      <c r="K111" s="133"/>
      <c r="L111" s="133"/>
      <c r="P111" s="133"/>
      <c r="Q111" s="133"/>
      <c r="R111" s="133"/>
      <c r="S111" s="133"/>
    </row>
    <row r="112" spans="1:19" x14ac:dyDescent="0.2">
      <c r="A112" s="137"/>
      <c r="B112" s="324" t="s">
        <v>8</v>
      </c>
      <c r="C112" s="324" t="s">
        <v>9</v>
      </c>
      <c r="D112" s="152"/>
      <c r="F112" s="133"/>
      <c r="G112" s="133"/>
      <c r="H112" s="133"/>
      <c r="I112" s="133"/>
      <c r="J112" s="133"/>
      <c r="K112" s="133"/>
      <c r="L112" s="133"/>
      <c r="P112" s="133"/>
      <c r="Q112" s="133"/>
      <c r="R112" s="133"/>
      <c r="S112" s="133"/>
    </row>
    <row r="113" spans="1:19" x14ac:dyDescent="0.2">
      <c r="A113" s="137"/>
      <c r="B113" s="324" t="s">
        <v>17</v>
      </c>
      <c r="C113" s="324">
        <v>30</v>
      </c>
      <c r="D113" s="152"/>
      <c r="E113" s="125"/>
      <c r="F113" s="133"/>
      <c r="G113" s="133"/>
      <c r="H113" s="133"/>
      <c r="I113" s="133"/>
      <c r="J113" s="133"/>
      <c r="K113" s="133"/>
      <c r="L113" s="133"/>
      <c r="P113" s="133"/>
      <c r="Q113" s="133"/>
      <c r="R113" s="133"/>
      <c r="S113" s="133"/>
    </row>
    <row r="114" spans="1:19" s="125" customFormat="1" x14ac:dyDescent="0.2">
      <c r="A114" s="137"/>
      <c r="C114" s="326"/>
    </row>
    <row r="115" spans="1:19" x14ac:dyDescent="0.2">
      <c r="A115" s="112" t="s">
        <v>30</v>
      </c>
      <c r="B115" s="148" t="s">
        <v>31</v>
      </c>
      <c r="C115" s="200" t="s">
        <v>104</v>
      </c>
    </row>
    <row r="116" spans="1:19" x14ac:dyDescent="0.2">
      <c r="B116" s="150" t="s">
        <v>8</v>
      </c>
      <c r="C116" s="150" t="s">
        <v>96</v>
      </c>
    </row>
    <row r="117" spans="1:19" x14ac:dyDescent="0.2">
      <c r="B117" s="150" t="s">
        <v>45</v>
      </c>
      <c r="C117" s="150" t="s">
        <v>33</v>
      </c>
    </row>
    <row r="118" spans="1:19" x14ac:dyDescent="0.2">
      <c r="A118" s="133"/>
      <c r="B118" s="150" t="s">
        <v>17</v>
      </c>
      <c r="C118" s="150">
        <v>600</v>
      </c>
      <c r="F118" s="133"/>
      <c r="G118" s="133"/>
      <c r="H118" s="133"/>
      <c r="I118" s="133"/>
      <c r="J118" s="133"/>
      <c r="K118" s="133"/>
      <c r="L118" s="133"/>
      <c r="P118" s="133"/>
      <c r="Q118" s="133"/>
      <c r="R118" s="133"/>
      <c r="S118" s="133"/>
    </row>
    <row r="119" spans="1:19" x14ac:dyDescent="0.2">
      <c r="A119" s="133"/>
      <c r="B119" s="150" t="s">
        <v>34</v>
      </c>
      <c r="C119" s="150" t="s">
        <v>97</v>
      </c>
      <c r="F119" s="133"/>
      <c r="G119" s="133"/>
      <c r="H119" s="133"/>
      <c r="I119" s="133"/>
      <c r="J119" s="133"/>
      <c r="K119" s="133"/>
      <c r="L119" s="133"/>
      <c r="P119" s="133"/>
      <c r="Q119" s="133"/>
      <c r="R119" s="133"/>
      <c r="S119" s="133"/>
    </row>
    <row r="120" spans="1:19" x14ac:dyDescent="0.2">
      <c r="A120" s="133"/>
      <c r="B120" s="150" t="s">
        <v>98</v>
      </c>
      <c r="C120" s="151" t="s">
        <v>161</v>
      </c>
      <c r="F120" s="133"/>
      <c r="G120" s="133"/>
      <c r="H120" s="133"/>
      <c r="I120" s="133"/>
      <c r="J120" s="133"/>
      <c r="K120" s="133"/>
      <c r="L120" s="133"/>
      <c r="P120" s="133"/>
      <c r="Q120" s="133"/>
      <c r="R120" s="133"/>
      <c r="S120" s="133"/>
    </row>
    <row r="121" spans="1:19" x14ac:dyDescent="0.2">
      <c r="A121" s="133"/>
      <c r="B121" s="150" t="s">
        <v>99</v>
      </c>
      <c r="C121" s="151" t="s">
        <v>144</v>
      </c>
      <c r="F121" s="133"/>
      <c r="G121" s="133"/>
      <c r="H121" s="133"/>
      <c r="I121" s="133"/>
      <c r="J121" s="133"/>
      <c r="K121" s="133"/>
      <c r="L121" s="133"/>
      <c r="P121" s="133"/>
      <c r="Q121" s="133"/>
      <c r="R121" s="133"/>
      <c r="S121" s="133"/>
    </row>
    <row r="122" spans="1:19" x14ac:dyDescent="0.2">
      <c r="A122" s="133"/>
      <c r="B122" s="150" t="s">
        <v>100</v>
      </c>
      <c r="C122" s="150">
        <v>0.2</v>
      </c>
      <c r="F122" s="133"/>
      <c r="G122" s="133"/>
      <c r="H122" s="133"/>
      <c r="I122" s="133"/>
      <c r="J122" s="133"/>
      <c r="K122" s="133"/>
      <c r="L122" s="133"/>
      <c r="P122" s="133"/>
      <c r="Q122" s="133"/>
      <c r="R122" s="133"/>
      <c r="S122" s="133"/>
    </row>
    <row r="123" spans="1:19" x14ac:dyDescent="0.2">
      <c r="A123" s="133"/>
      <c r="B123" s="150" t="s">
        <v>101</v>
      </c>
      <c r="C123" s="150">
        <v>60</v>
      </c>
      <c r="F123" s="133"/>
      <c r="G123" s="133"/>
      <c r="H123" s="133"/>
      <c r="I123" s="133"/>
      <c r="J123" s="133"/>
      <c r="K123" s="133"/>
      <c r="L123" s="133"/>
      <c r="P123" s="133"/>
      <c r="Q123" s="133"/>
      <c r="R123" s="133"/>
      <c r="S123" s="133"/>
    </row>
    <row r="124" spans="1:19" x14ac:dyDescent="0.2">
      <c r="A124" s="133"/>
      <c r="B124" s="150" t="s">
        <v>34</v>
      </c>
      <c r="C124" s="150" t="s">
        <v>97</v>
      </c>
      <c r="F124" s="133"/>
      <c r="G124" s="133"/>
      <c r="H124" s="133"/>
      <c r="I124" s="133"/>
      <c r="J124" s="133"/>
      <c r="K124" s="133"/>
      <c r="L124" s="133"/>
      <c r="P124" s="133"/>
      <c r="Q124" s="133"/>
      <c r="R124" s="133"/>
      <c r="S124" s="133"/>
    </row>
    <row r="125" spans="1:19" x14ac:dyDescent="0.2">
      <c r="A125" s="133"/>
      <c r="B125" s="150" t="s">
        <v>98</v>
      </c>
      <c r="C125" s="151" t="s">
        <v>162</v>
      </c>
      <c r="F125" s="133"/>
      <c r="G125" s="133"/>
      <c r="H125" s="133"/>
      <c r="I125" s="133"/>
      <c r="J125" s="133"/>
      <c r="K125" s="133"/>
      <c r="L125" s="133"/>
      <c r="P125" s="133"/>
      <c r="Q125" s="133"/>
      <c r="R125" s="133"/>
      <c r="S125" s="133"/>
    </row>
    <row r="126" spans="1:19" x14ac:dyDescent="0.2">
      <c r="A126" s="133"/>
      <c r="B126" s="150" t="s">
        <v>99</v>
      </c>
      <c r="C126" s="151" t="s">
        <v>159</v>
      </c>
      <c r="F126" s="133"/>
      <c r="G126" s="133"/>
      <c r="H126" s="133"/>
      <c r="I126" s="133"/>
      <c r="J126" s="133"/>
      <c r="K126" s="133"/>
      <c r="L126" s="133"/>
      <c r="P126" s="133"/>
      <c r="Q126" s="133"/>
      <c r="R126" s="133"/>
      <c r="S126" s="133"/>
    </row>
    <row r="127" spans="1:19" x14ac:dyDescent="0.2">
      <c r="A127" s="133"/>
      <c r="B127" s="150" t="s">
        <v>100</v>
      </c>
      <c r="C127" s="150">
        <v>0.5</v>
      </c>
      <c r="F127" s="133"/>
      <c r="G127" s="133"/>
      <c r="H127" s="133"/>
      <c r="I127" s="133"/>
      <c r="J127" s="133"/>
      <c r="K127" s="133"/>
      <c r="L127" s="133"/>
      <c r="P127" s="133"/>
      <c r="Q127" s="133"/>
      <c r="R127" s="133"/>
      <c r="S127" s="133"/>
    </row>
    <row r="128" spans="1:19" x14ac:dyDescent="0.2">
      <c r="A128" s="133"/>
      <c r="B128" s="150" t="s">
        <v>101</v>
      </c>
      <c r="C128" s="150">
        <v>60</v>
      </c>
      <c r="F128" s="133"/>
      <c r="G128" s="133"/>
      <c r="H128" s="133"/>
      <c r="I128" s="133"/>
      <c r="J128" s="133"/>
      <c r="K128" s="133"/>
      <c r="L128" s="133"/>
      <c r="P128" s="133"/>
      <c r="Q128" s="133"/>
      <c r="R128" s="133"/>
      <c r="S128" s="133"/>
    </row>
    <row r="129" spans="1:19" x14ac:dyDescent="0.2">
      <c r="A129" s="133"/>
      <c r="B129" s="150" t="s">
        <v>34</v>
      </c>
      <c r="C129" s="150" t="s">
        <v>97</v>
      </c>
      <c r="F129" s="133"/>
      <c r="G129" s="133"/>
      <c r="H129" s="133"/>
      <c r="I129" s="133"/>
      <c r="J129" s="133"/>
      <c r="K129" s="133"/>
      <c r="L129" s="133"/>
      <c r="P129" s="133"/>
      <c r="Q129" s="133"/>
      <c r="R129" s="133"/>
      <c r="S129" s="133"/>
    </row>
    <row r="130" spans="1:19" x14ac:dyDescent="0.2">
      <c r="A130" s="133"/>
      <c r="B130" s="150" t="s">
        <v>98</v>
      </c>
      <c r="C130" s="151" t="s">
        <v>163</v>
      </c>
      <c r="F130" s="133"/>
      <c r="G130" s="133"/>
      <c r="H130" s="133"/>
      <c r="I130" s="133"/>
      <c r="J130" s="133"/>
      <c r="K130" s="133"/>
      <c r="L130" s="133"/>
      <c r="P130" s="133"/>
      <c r="Q130" s="133"/>
      <c r="R130" s="133"/>
      <c r="S130" s="133"/>
    </row>
    <row r="131" spans="1:19" x14ac:dyDescent="0.2">
      <c r="A131" s="133"/>
      <c r="B131" s="150" t="s">
        <v>99</v>
      </c>
      <c r="C131" s="151" t="s">
        <v>160</v>
      </c>
      <c r="F131" s="133"/>
      <c r="G131" s="133"/>
      <c r="H131" s="133"/>
      <c r="I131" s="133"/>
      <c r="J131" s="133"/>
      <c r="K131" s="133"/>
      <c r="L131" s="133"/>
      <c r="P131" s="133"/>
      <c r="Q131" s="133"/>
      <c r="R131" s="133"/>
      <c r="S131" s="133"/>
    </row>
    <row r="132" spans="1:19" x14ac:dyDescent="0.2">
      <c r="A132" s="133"/>
      <c r="B132" s="150" t="s">
        <v>100</v>
      </c>
      <c r="C132" s="150">
        <v>0.5</v>
      </c>
      <c r="F132" s="133"/>
      <c r="G132" s="133"/>
      <c r="H132" s="133"/>
      <c r="I132" s="133"/>
      <c r="J132" s="133"/>
      <c r="K132" s="133"/>
      <c r="L132" s="133"/>
      <c r="P132" s="133"/>
      <c r="Q132" s="133"/>
      <c r="R132" s="133"/>
      <c r="S132" s="133"/>
    </row>
    <row r="133" spans="1:19" x14ac:dyDescent="0.2">
      <c r="A133" s="133"/>
      <c r="B133" s="150" t="s">
        <v>101</v>
      </c>
      <c r="C133" s="150">
        <v>60</v>
      </c>
      <c r="F133" s="133"/>
      <c r="G133" s="133"/>
      <c r="H133" s="133"/>
      <c r="I133" s="133"/>
      <c r="J133" s="133"/>
      <c r="K133" s="133"/>
      <c r="L133" s="133"/>
      <c r="P133" s="133"/>
      <c r="Q133" s="133"/>
      <c r="R133" s="133"/>
      <c r="S133" s="133"/>
    </row>
    <row r="134" spans="1:19" s="125" customFormat="1" x14ac:dyDescent="0.2"/>
    <row r="135" spans="1:19" x14ac:dyDescent="0.2">
      <c r="A135" s="137" t="s">
        <v>30</v>
      </c>
      <c r="B135" s="327" t="s">
        <v>31</v>
      </c>
      <c r="C135" s="321" t="s">
        <v>313</v>
      </c>
      <c r="D135" s="125"/>
      <c r="E135" s="125"/>
      <c r="F135" s="133"/>
      <c r="G135" s="133"/>
      <c r="H135" s="133"/>
      <c r="I135" s="133"/>
      <c r="J135" s="133"/>
      <c r="K135" s="133"/>
      <c r="L135" s="133"/>
      <c r="P135" s="133"/>
      <c r="Q135" s="133"/>
      <c r="R135" s="133"/>
      <c r="S135" s="133"/>
    </row>
    <row r="136" spans="1:19" ht="12.75" customHeight="1" x14ac:dyDescent="0.2">
      <c r="A136" s="137"/>
      <c r="B136" s="328" t="s">
        <v>8</v>
      </c>
      <c r="C136" s="328" t="s">
        <v>9</v>
      </c>
      <c r="D136" s="125"/>
      <c r="E136" s="125"/>
      <c r="F136" s="133"/>
      <c r="G136" s="133"/>
      <c r="H136" s="133"/>
      <c r="I136" s="133"/>
      <c r="J136" s="133"/>
      <c r="K136" s="133"/>
      <c r="L136" s="133"/>
      <c r="P136" s="133"/>
      <c r="Q136" s="133"/>
      <c r="R136" s="133"/>
      <c r="S136" s="133"/>
    </row>
    <row r="137" spans="1:19" ht="12.75" customHeight="1" x14ac:dyDescent="0.2">
      <c r="A137" s="137"/>
      <c r="B137" s="328" t="s">
        <v>17</v>
      </c>
      <c r="C137" s="328">
        <v>60</v>
      </c>
      <c r="D137" s="152"/>
      <c r="E137" s="125"/>
      <c r="F137" s="133"/>
      <c r="G137" s="133"/>
      <c r="H137" s="133"/>
      <c r="I137" s="133"/>
      <c r="J137" s="133"/>
      <c r="K137" s="133"/>
      <c r="L137" s="133"/>
      <c r="P137" s="133"/>
      <c r="Q137" s="133"/>
      <c r="R137" s="133"/>
      <c r="S137" s="133"/>
    </row>
    <row r="138" spans="1:19" x14ac:dyDescent="0.2">
      <c r="A138" s="137"/>
      <c r="B138" s="328"/>
      <c r="C138" s="329"/>
      <c r="D138" s="125"/>
      <c r="E138" s="125"/>
      <c r="F138" s="133"/>
      <c r="G138" s="133"/>
      <c r="H138" s="133"/>
      <c r="I138" s="133"/>
      <c r="J138" s="133"/>
      <c r="K138" s="133"/>
      <c r="L138" s="133"/>
      <c r="P138" s="133"/>
      <c r="Q138" s="133"/>
      <c r="R138" s="133"/>
      <c r="S138" s="133"/>
    </row>
    <row r="139" spans="1:19" x14ac:dyDescent="0.2">
      <c r="A139" s="137"/>
      <c r="B139" s="328" t="s">
        <v>8</v>
      </c>
      <c r="C139" s="328" t="s">
        <v>32</v>
      </c>
      <c r="D139" s="125"/>
      <c r="E139" s="125"/>
      <c r="F139" s="133"/>
      <c r="G139" s="133"/>
      <c r="H139" s="133"/>
      <c r="I139" s="133"/>
      <c r="J139" s="133"/>
      <c r="K139" s="133"/>
      <c r="L139" s="133"/>
      <c r="P139" s="133"/>
      <c r="Q139" s="133"/>
      <c r="R139" s="133"/>
      <c r="S139" s="133"/>
    </row>
    <row r="140" spans="1:19" x14ac:dyDescent="0.2">
      <c r="A140" s="137"/>
      <c r="B140" s="328" t="s">
        <v>45</v>
      </c>
      <c r="C140" s="328" t="s">
        <v>46</v>
      </c>
      <c r="D140" s="125"/>
      <c r="E140" s="125"/>
      <c r="F140" s="133"/>
      <c r="G140" s="133"/>
      <c r="H140" s="133"/>
      <c r="I140" s="133"/>
      <c r="J140" s="133"/>
      <c r="K140" s="133"/>
      <c r="L140" s="133"/>
      <c r="P140" s="133"/>
      <c r="Q140" s="133"/>
      <c r="R140" s="133"/>
      <c r="S140" s="133"/>
    </row>
    <row r="141" spans="1:19" x14ac:dyDescent="0.2">
      <c r="A141" s="137"/>
      <c r="B141" s="328" t="s">
        <v>17</v>
      </c>
      <c r="C141" s="328">
        <v>180</v>
      </c>
      <c r="D141" s="152"/>
      <c r="E141" s="125"/>
      <c r="F141" s="133"/>
      <c r="G141" s="133"/>
      <c r="H141" s="133"/>
      <c r="I141" s="133"/>
      <c r="J141" s="133"/>
      <c r="K141" s="133"/>
      <c r="L141" s="133"/>
      <c r="P141" s="133"/>
      <c r="Q141" s="133"/>
      <c r="R141" s="133"/>
      <c r="S141" s="133"/>
    </row>
    <row r="142" spans="1:19" x14ac:dyDescent="0.2">
      <c r="A142" s="137"/>
      <c r="B142" s="328" t="s">
        <v>34</v>
      </c>
      <c r="C142" s="328" t="s">
        <v>41</v>
      </c>
      <c r="D142" s="125"/>
      <c r="E142" s="125"/>
      <c r="F142" s="133"/>
      <c r="G142" s="133"/>
      <c r="H142" s="133"/>
      <c r="I142" s="133"/>
      <c r="J142" s="133"/>
      <c r="K142" s="133"/>
      <c r="L142" s="133"/>
      <c r="P142" s="133"/>
      <c r="Q142" s="133"/>
      <c r="R142" s="133"/>
      <c r="S142" s="133"/>
    </row>
    <row r="143" spans="1:19" x14ac:dyDescent="0.2">
      <c r="A143" s="137"/>
      <c r="B143" s="328" t="s">
        <v>164</v>
      </c>
      <c r="C143" s="330">
        <v>0.2</v>
      </c>
      <c r="D143" s="125"/>
      <c r="E143" s="125"/>
      <c r="F143" s="133"/>
      <c r="G143" s="133"/>
      <c r="H143" s="133"/>
      <c r="I143" s="133"/>
      <c r="J143" s="133"/>
      <c r="K143" s="133"/>
      <c r="L143" s="133"/>
      <c r="P143" s="133"/>
      <c r="Q143" s="133"/>
      <c r="R143" s="133"/>
      <c r="S143" s="133"/>
    </row>
    <row r="144" spans="1:19" x14ac:dyDescent="0.2">
      <c r="A144" s="137"/>
      <c r="B144" s="328" t="s">
        <v>34</v>
      </c>
      <c r="C144" s="328" t="s">
        <v>42</v>
      </c>
      <c r="D144" s="125"/>
      <c r="E144" s="125"/>
      <c r="F144" s="133"/>
      <c r="G144" s="133"/>
      <c r="H144" s="133"/>
      <c r="I144" s="133"/>
      <c r="J144" s="133"/>
      <c r="K144" s="133"/>
      <c r="L144" s="133"/>
      <c r="P144" s="133"/>
      <c r="Q144" s="133"/>
      <c r="R144" s="133"/>
      <c r="S144" s="133"/>
    </row>
    <row r="145" spans="1:19" x14ac:dyDescent="0.2">
      <c r="A145" s="137"/>
      <c r="B145" s="328" t="s">
        <v>135</v>
      </c>
      <c r="C145" s="329" t="s">
        <v>14</v>
      </c>
      <c r="D145" s="125"/>
      <c r="E145" s="125"/>
      <c r="F145" s="133"/>
      <c r="G145" s="133"/>
      <c r="H145" s="133"/>
      <c r="I145" s="133"/>
      <c r="J145" s="133"/>
      <c r="K145" s="133"/>
      <c r="L145" s="133"/>
      <c r="P145" s="133"/>
      <c r="Q145" s="133"/>
      <c r="R145" s="133"/>
      <c r="S145" s="133"/>
    </row>
    <row r="146" spans="1:19" x14ac:dyDescent="0.2">
      <c r="A146" s="137"/>
      <c r="B146" s="328"/>
      <c r="C146" s="329"/>
      <c r="D146" s="125"/>
      <c r="E146" s="125"/>
      <c r="F146" s="133"/>
      <c r="G146" s="133"/>
      <c r="H146" s="133"/>
      <c r="I146" s="133"/>
      <c r="J146" s="133"/>
      <c r="K146" s="133"/>
      <c r="L146" s="133"/>
      <c r="P146" s="133"/>
      <c r="Q146" s="133"/>
      <c r="R146" s="133"/>
      <c r="S146" s="133"/>
    </row>
    <row r="147" spans="1:19" ht="12.75" customHeight="1" x14ac:dyDescent="0.2">
      <c r="A147" s="137"/>
      <c r="B147" s="328" t="s">
        <v>8</v>
      </c>
      <c r="C147" s="328" t="s">
        <v>9</v>
      </c>
      <c r="D147" s="125"/>
      <c r="E147" s="125"/>
      <c r="F147" s="133"/>
      <c r="G147" s="133"/>
      <c r="H147" s="133"/>
      <c r="I147" s="133"/>
      <c r="J147" s="133"/>
      <c r="K147" s="133"/>
      <c r="L147" s="133"/>
      <c r="P147" s="133"/>
      <c r="Q147" s="133"/>
      <c r="R147" s="133"/>
      <c r="S147" s="133"/>
    </row>
    <row r="148" spans="1:19" ht="12" customHeight="1" x14ac:dyDescent="0.2">
      <c r="A148" s="137"/>
      <c r="B148" s="328" t="s">
        <v>17</v>
      </c>
      <c r="C148" s="328">
        <v>60</v>
      </c>
      <c r="D148" s="152"/>
      <c r="E148" s="125"/>
      <c r="F148" s="133"/>
      <c r="G148" s="133"/>
      <c r="H148" s="133"/>
      <c r="I148" s="133"/>
      <c r="J148" s="133"/>
      <c r="K148" s="133"/>
      <c r="L148" s="133"/>
      <c r="P148" s="133"/>
      <c r="Q148" s="133"/>
      <c r="R148" s="133"/>
      <c r="S148" s="133"/>
    </row>
    <row r="149" spans="1:19" ht="12" customHeight="1" x14ac:dyDescent="0.2">
      <c r="A149" s="137"/>
      <c r="B149" s="328" t="s">
        <v>25</v>
      </c>
      <c r="C149" s="329">
        <v>1</v>
      </c>
      <c r="D149" s="125"/>
      <c r="E149" s="125"/>
      <c r="F149" s="133"/>
      <c r="G149" s="133"/>
      <c r="H149" s="133"/>
      <c r="I149" s="133"/>
      <c r="J149" s="133"/>
      <c r="K149" s="133"/>
      <c r="L149" s="133"/>
      <c r="P149" s="133"/>
      <c r="Q149" s="133"/>
      <c r="R149" s="133"/>
      <c r="S149" s="133"/>
    </row>
    <row r="150" spans="1:19" x14ac:dyDescent="0.2">
      <c r="A150" s="137"/>
      <c r="B150" s="328" t="s">
        <v>195</v>
      </c>
      <c r="C150" s="329">
        <v>1</v>
      </c>
      <c r="D150" s="125"/>
      <c r="E150" s="125"/>
      <c r="F150" s="133"/>
      <c r="G150" s="133"/>
      <c r="H150" s="133"/>
      <c r="I150" s="133"/>
      <c r="J150" s="133"/>
      <c r="K150" s="133"/>
      <c r="L150" s="133"/>
      <c r="P150" s="133"/>
      <c r="Q150" s="133"/>
      <c r="R150" s="133"/>
      <c r="S150" s="133"/>
    </row>
    <row r="152" spans="1:19" x14ac:dyDescent="0.2">
      <c r="A152" s="112" t="s">
        <v>30</v>
      </c>
      <c r="B152" s="331" t="s">
        <v>31</v>
      </c>
      <c r="C152" s="322" t="s">
        <v>314</v>
      </c>
    </row>
    <row r="153" spans="1:19" x14ac:dyDescent="0.2">
      <c r="B153" s="332" t="s">
        <v>8</v>
      </c>
      <c r="C153" s="332" t="s">
        <v>226</v>
      </c>
    </row>
    <row r="154" spans="1:19" x14ac:dyDescent="0.2">
      <c r="A154" s="133"/>
      <c r="B154" s="332" t="s">
        <v>17</v>
      </c>
      <c r="C154" s="332">
        <v>30</v>
      </c>
      <c r="F154" s="133"/>
      <c r="G154" s="133"/>
      <c r="H154" s="133"/>
      <c r="I154" s="133"/>
      <c r="J154" s="133"/>
      <c r="K154" s="133"/>
      <c r="L154" s="133"/>
      <c r="P154" s="133"/>
      <c r="Q154" s="133"/>
      <c r="R154" s="133"/>
      <c r="S154" s="133"/>
    </row>
    <row r="155" spans="1:19" x14ac:dyDescent="0.2">
      <c r="A155" s="133"/>
      <c r="B155" s="332" t="s">
        <v>147</v>
      </c>
      <c r="C155" s="332">
        <v>230</v>
      </c>
      <c r="F155" s="133"/>
      <c r="G155" s="133"/>
      <c r="H155" s="133"/>
      <c r="I155" s="133"/>
      <c r="J155" s="133"/>
      <c r="K155" s="133"/>
      <c r="L155" s="133"/>
      <c r="P155" s="133"/>
      <c r="Q155" s="133"/>
      <c r="R155" s="133"/>
      <c r="S155" s="133"/>
    </row>
    <row r="156" spans="1:19" x14ac:dyDescent="0.2">
      <c r="A156" s="133"/>
      <c r="B156" s="332" t="s">
        <v>148</v>
      </c>
      <c r="C156" s="332">
        <v>190</v>
      </c>
      <c r="F156" s="133"/>
      <c r="G156" s="133"/>
      <c r="H156" s="133"/>
      <c r="I156" s="133"/>
      <c r="J156" s="133"/>
      <c r="K156" s="133"/>
      <c r="L156" s="133"/>
      <c r="P156" s="133"/>
      <c r="Q156" s="133"/>
      <c r="R156" s="133"/>
      <c r="S156" s="133"/>
    </row>
    <row r="157" spans="1:19" x14ac:dyDescent="0.2">
      <c r="A157" s="133"/>
      <c r="B157" s="332"/>
      <c r="C157" s="332"/>
      <c r="F157" s="133"/>
      <c r="G157" s="133"/>
      <c r="H157" s="133"/>
      <c r="I157" s="133"/>
      <c r="J157" s="133"/>
      <c r="K157" s="133"/>
      <c r="L157" s="133"/>
      <c r="P157" s="133"/>
      <c r="Q157" s="133"/>
      <c r="R157" s="133"/>
      <c r="S157" s="133"/>
    </row>
    <row r="158" spans="1:19" x14ac:dyDescent="0.2">
      <c r="B158" s="332" t="s">
        <v>8</v>
      </c>
      <c r="C158" s="332" t="s">
        <v>226</v>
      </c>
    </row>
    <row r="159" spans="1:19" x14ac:dyDescent="0.2">
      <c r="A159" s="133"/>
      <c r="B159" s="332" t="s">
        <v>17</v>
      </c>
      <c r="C159" s="332">
        <v>30</v>
      </c>
      <c r="F159" s="133"/>
      <c r="G159" s="133"/>
      <c r="H159" s="133"/>
      <c r="I159" s="133"/>
      <c r="J159" s="133"/>
      <c r="K159" s="133"/>
      <c r="L159" s="133"/>
      <c r="P159" s="133"/>
      <c r="Q159" s="133"/>
      <c r="R159" s="133"/>
      <c r="S159" s="133"/>
    </row>
    <row r="160" spans="1:19" x14ac:dyDescent="0.2">
      <c r="A160" s="133"/>
      <c r="B160" s="332" t="s">
        <v>137</v>
      </c>
      <c r="C160" s="332">
        <v>1.5</v>
      </c>
      <c r="F160" s="133"/>
      <c r="G160" s="133"/>
      <c r="H160" s="133"/>
      <c r="I160" s="133"/>
      <c r="J160" s="133"/>
      <c r="K160" s="133"/>
      <c r="L160" s="133"/>
      <c r="P160" s="133"/>
      <c r="Q160" s="133"/>
      <c r="R160" s="133"/>
      <c r="S160" s="133"/>
    </row>
    <row r="161" spans="1:18" s="125" customFormat="1" x14ac:dyDescent="0.2">
      <c r="A161" s="137"/>
      <c r="Q161" s="117"/>
      <c r="R161" s="117"/>
    </row>
    <row r="162" spans="1:18" x14ac:dyDescent="0.2">
      <c r="A162" s="112" t="s">
        <v>7</v>
      </c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CE18-CD2E-4CA8-A1C7-1D6FCC2C6286}">
  <sheetPr codeName="Sheet15">
    <pageSetUpPr fitToPage="1"/>
  </sheetPr>
  <dimension ref="A1:AF125"/>
  <sheetViews>
    <sheetView topLeftCell="A23" zoomScale="85" zoomScaleNormal="25" zoomScaleSheetLayoutView="70" workbookViewId="0">
      <selection activeCell="A51" sqref="A51:IV51"/>
    </sheetView>
  </sheetViews>
  <sheetFormatPr defaultRowHeight="12.75" x14ac:dyDescent="0.2"/>
  <cols>
    <col min="1" max="1" width="11.5703125" style="154" bestFit="1" customWidth="1"/>
    <col min="2" max="2" width="69.5703125" style="154" bestFit="1" customWidth="1"/>
    <col min="3" max="3" width="18.5703125" style="154" bestFit="1" customWidth="1"/>
    <col min="4" max="4" width="8.140625" style="154" customWidth="1"/>
    <col min="5" max="5" width="14.28515625" style="154" bestFit="1" customWidth="1"/>
    <col min="6" max="7" width="8.85546875" style="154" bestFit="1" customWidth="1"/>
    <col min="8" max="8" width="9.140625" style="154" customWidth="1"/>
    <col min="9" max="10" width="8.140625" style="154" customWidth="1"/>
    <col min="11" max="11" width="9.42578125" style="154" bestFit="1" customWidth="1"/>
    <col min="12" max="12" width="6.85546875" style="154" customWidth="1"/>
    <col min="13" max="16384" width="9.140625" style="154"/>
  </cols>
  <sheetData>
    <row r="1" spans="1:12" x14ac:dyDescent="0.2">
      <c r="A1" s="154" t="s">
        <v>3</v>
      </c>
      <c r="B1" s="154" t="s">
        <v>4</v>
      </c>
    </row>
    <row r="2" spans="1:12" x14ac:dyDescent="0.2">
      <c r="A2" s="154" t="s">
        <v>0</v>
      </c>
      <c r="B2" s="154" t="s">
        <v>1</v>
      </c>
      <c r="C2" s="154" t="s">
        <v>2</v>
      </c>
    </row>
    <row r="4" spans="1:12" x14ac:dyDescent="0.2">
      <c r="A4" s="154" t="s">
        <v>5</v>
      </c>
    </row>
    <row r="5" spans="1:12" x14ac:dyDescent="0.2">
      <c r="B5" s="154" t="s">
        <v>8</v>
      </c>
      <c r="C5" s="154" t="s">
        <v>9</v>
      </c>
      <c r="E5" s="188"/>
      <c r="F5" s="188"/>
      <c r="G5" s="188"/>
      <c r="H5" s="188"/>
      <c r="I5" s="188"/>
      <c r="J5" s="188"/>
      <c r="K5" s="188"/>
      <c r="L5" s="188"/>
    </row>
    <row r="6" spans="1:12" x14ac:dyDescent="0.2">
      <c r="B6" s="154" t="s">
        <v>17</v>
      </c>
      <c r="C6" s="154">
        <v>2</v>
      </c>
      <c r="E6" s="188"/>
      <c r="F6" s="188"/>
      <c r="G6" s="188"/>
      <c r="H6" s="188"/>
      <c r="I6" s="188"/>
      <c r="J6" s="188"/>
      <c r="K6" s="188"/>
      <c r="L6" s="188"/>
    </row>
    <row r="7" spans="1:12" s="133" customFormat="1" x14ac:dyDescent="0.2">
      <c r="A7" s="112"/>
      <c r="B7" s="133" t="s">
        <v>166</v>
      </c>
      <c r="C7" s="134" t="s">
        <v>5</v>
      </c>
      <c r="E7" s="116"/>
      <c r="F7" s="116"/>
      <c r="G7" s="116"/>
      <c r="H7" s="116"/>
      <c r="I7" s="116"/>
      <c r="J7" s="116"/>
      <c r="K7" s="116"/>
      <c r="L7" s="116"/>
    </row>
    <row r="8" spans="1:12" s="133" customFormat="1" x14ac:dyDescent="0.2">
      <c r="A8" s="112"/>
      <c r="B8" s="133" t="s">
        <v>135</v>
      </c>
      <c r="C8" s="134" t="s">
        <v>14</v>
      </c>
      <c r="E8" s="116"/>
      <c r="F8" s="116"/>
      <c r="G8" s="116"/>
      <c r="H8" s="116"/>
      <c r="I8" s="116"/>
      <c r="J8" s="116"/>
      <c r="K8" s="116"/>
      <c r="L8" s="116"/>
    </row>
    <row r="9" spans="1:12" s="133" customFormat="1" x14ac:dyDescent="0.2">
      <c r="A9" s="112"/>
      <c r="B9" s="133" t="s">
        <v>133</v>
      </c>
      <c r="C9" s="134" t="s">
        <v>90</v>
      </c>
      <c r="E9" s="116"/>
      <c r="F9" s="116"/>
      <c r="G9" s="116"/>
      <c r="H9" s="116"/>
      <c r="I9" s="116"/>
      <c r="J9" s="116"/>
      <c r="K9" s="116"/>
      <c r="L9" s="116"/>
    </row>
    <row r="10" spans="1:12" s="133" customFormat="1" x14ac:dyDescent="0.2">
      <c r="A10" s="112"/>
      <c r="B10" s="133" t="s">
        <v>136</v>
      </c>
      <c r="C10" s="135">
        <v>1.1000000000000001</v>
      </c>
      <c r="E10" s="116"/>
      <c r="F10" s="116"/>
      <c r="G10" s="116"/>
      <c r="H10" s="116"/>
      <c r="I10" s="116"/>
      <c r="J10" s="116"/>
      <c r="K10" s="116"/>
      <c r="L10" s="116"/>
    </row>
    <row r="11" spans="1:12" s="133" customFormat="1" x14ac:dyDescent="0.2">
      <c r="A11" s="112"/>
      <c r="B11" s="133" t="s">
        <v>137</v>
      </c>
      <c r="C11" s="136">
        <v>0</v>
      </c>
      <c r="E11" s="116"/>
      <c r="F11" s="116"/>
      <c r="G11" s="116"/>
      <c r="H11" s="116"/>
      <c r="I11" s="116"/>
      <c r="J11" s="116"/>
      <c r="K11" s="116"/>
      <c r="L11" s="116"/>
    </row>
    <row r="12" spans="1:12" s="133" customFormat="1" x14ac:dyDescent="0.2">
      <c r="A12" s="112"/>
      <c r="C12" s="135"/>
      <c r="E12" s="116"/>
      <c r="F12" s="116"/>
      <c r="G12" s="116"/>
      <c r="H12" s="116"/>
      <c r="I12" s="116"/>
      <c r="J12" s="116"/>
      <c r="K12" s="116"/>
      <c r="L12" s="116"/>
    </row>
    <row r="13" spans="1:12" s="133" customFormat="1" x14ac:dyDescent="0.2">
      <c r="A13" s="112"/>
      <c r="B13" s="133" t="s">
        <v>167</v>
      </c>
      <c r="C13" s="153">
        <v>100</v>
      </c>
      <c r="E13" s="116"/>
      <c r="F13" s="116"/>
      <c r="G13" s="116"/>
      <c r="H13" s="116"/>
      <c r="I13" s="116"/>
      <c r="J13" s="116"/>
      <c r="K13" s="116"/>
      <c r="L13" s="116"/>
    </row>
    <row r="14" spans="1:12" s="133" customFormat="1" x14ac:dyDescent="0.2">
      <c r="A14" s="112"/>
      <c r="B14" s="125" t="s">
        <v>138</v>
      </c>
      <c r="C14" s="138">
        <v>100</v>
      </c>
      <c r="D14" s="115"/>
      <c r="E14" s="116"/>
      <c r="F14" s="116"/>
      <c r="G14" s="116"/>
      <c r="H14" s="116"/>
      <c r="I14" s="116"/>
      <c r="J14" s="116"/>
      <c r="K14" s="116"/>
      <c r="L14" s="116"/>
    </row>
    <row r="15" spans="1:12" s="133" customFormat="1" x14ac:dyDescent="0.2">
      <c r="A15" s="112"/>
      <c r="B15" s="125" t="s">
        <v>139</v>
      </c>
      <c r="C15" s="138">
        <v>0</v>
      </c>
      <c r="D15" s="115"/>
      <c r="E15" s="116"/>
      <c r="F15" s="116"/>
      <c r="G15" s="116"/>
      <c r="H15" s="116"/>
      <c r="I15" s="116"/>
      <c r="J15" s="116"/>
      <c r="K15" s="116"/>
      <c r="L15" s="116"/>
    </row>
    <row r="16" spans="1:12" s="133" customFormat="1" x14ac:dyDescent="0.2">
      <c r="B16" s="133" t="s">
        <v>151</v>
      </c>
      <c r="C16" s="134" t="s">
        <v>319</v>
      </c>
      <c r="D16" s="115" t="s">
        <v>19</v>
      </c>
      <c r="E16" s="116"/>
      <c r="F16" s="116"/>
      <c r="G16" s="116"/>
      <c r="H16" s="116"/>
      <c r="I16" s="116"/>
      <c r="J16" s="116"/>
      <c r="K16" s="116"/>
      <c r="L16" s="116"/>
    </row>
    <row r="17" spans="1:12" s="133" customFormat="1" x14ac:dyDescent="0.2">
      <c r="A17" s="112"/>
      <c r="B17" s="133" t="s">
        <v>149</v>
      </c>
      <c r="C17" s="135">
        <v>1</v>
      </c>
      <c r="E17" s="116"/>
      <c r="F17" s="116"/>
      <c r="G17" s="116"/>
      <c r="H17" s="116"/>
      <c r="I17" s="116"/>
      <c r="J17" s="116"/>
      <c r="K17" s="116"/>
      <c r="L17" s="116"/>
    </row>
    <row r="18" spans="1:12" s="133" customFormat="1" x14ac:dyDescent="0.2">
      <c r="A18" s="112"/>
      <c r="B18" s="133" t="s">
        <v>150</v>
      </c>
      <c r="C18" s="135">
        <v>2.1</v>
      </c>
      <c r="E18" s="116"/>
      <c r="F18" s="116"/>
      <c r="G18" s="116"/>
      <c r="H18" s="116"/>
      <c r="I18" s="116"/>
      <c r="J18" s="116"/>
      <c r="K18" s="116"/>
      <c r="L18" s="116"/>
    </row>
    <row r="19" spans="1:12" s="133" customFormat="1" x14ac:dyDescent="0.2">
      <c r="C19" s="134"/>
      <c r="D19" s="115"/>
      <c r="E19" s="116"/>
      <c r="F19" s="116"/>
      <c r="G19" s="116"/>
      <c r="H19" s="116"/>
      <c r="I19" s="116"/>
      <c r="J19" s="116"/>
      <c r="K19" s="116"/>
      <c r="L19" s="116"/>
    </row>
    <row r="20" spans="1:12" s="133" customFormat="1" x14ac:dyDescent="0.2">
      <c r="B20" s="139" t="s">
        <v>152</v>
      </c>
      <c r="C20" s="134" t="s">
        <v>24</v>
      </c>
      <c r="D20" s="115"/>
      <c r="E20" s="116"/>
      <c r="F20" s="116"/>
      <c r="G20" s="116"/>
      <c r="H20" s="116"/>
      <c r="I20" s="116"/>
      <c r="J20" s="116"/>
      <c r="K20" s="116"/>
      <c r="L20" s="116"/>
    </row>
    <row r="21" spans="1:12" s="133" customFormat="1" x14ac:dyDescent="0.2">
      <c r="B21" s="139" t="s">
        <v>153</v>
      </c>
      <c r="C21" s="134" t="s">
        <v>92</v>
      </c>
      <c r="D21" s="140"/>
      <c r="E21" s="116"/>
      <c r="F21" s="116"/>
      <c r="G21" s="116"/>
      <c r="H21" s="116"/>
      <c r="I21" s="116"/>
      <c r="J21" s="116"/>
      <c r="K21" s="116"/>
      <c r="L21" s="116"/>
    </row>
    <row r="22" spans="1:12" s="133" customFormat="1" x14ac:dyDescent="0.2">
      <c r="B22" s="334" t="s">
        <v>147</v>
      </c>
      <c r="C22" s="134">
        <v>0</v>
      </c>
      <c r="D22" s="140"/>
      <c r="E22" s="116"/>
      <c r="F22" s="116"/>
      <c r="G22" s="116"/>
      <c r="H22" s="116"/>
      <c r="I22" s="116"/>
      <c r="J22" s="116"/>
      <c r="K22" s="116"/>
      <c r="L22" s="116"/>
    </row>
    <row r="23" spans="1:12" s="133" customFormat="1" x14ac:dyDescent="0.2">
      <c r="B23" s="334" t="s">
        <v>148</v>
      </c>
      <c r="C23" s="134">
        <v>0</v>
      </c>
      <c r="D23" s="140"/>
      <c r="E23" s="116"/>
      <c r="F23" s="116"/>
      <c r="G23" s="116"/>
      <c r="H23" s="116"/>
      <c r="I23" s="116"/>
      <c r="J23" s="116"/>
      <c r="K23" s="116"/>
      <c r="L23" s="116"/>
    </row>
    <row r="24" spans="1:12" s="133" customFormat="1" x14ac:dyDescent="0.2">
      <c r="B24" s="139"/>
      <c r="C24" s="134"/>
      <c r="D24" s="140"/>
      <c r="E24" s="116"/>
      <c r="F24" s="116"/>
      <c r="G24" s="116"/>
      <c r="H24" s="116"/>
      <c r="I24" s="116"/>
      <c r="J24" s="116"/>
      <c r="K24" s="116"/>
      <c r="L24" s="116"/>
    </row>
    <row r="25" spans="1:12" s="133" customFormat="1" x14ac:dyDescent="0.2">
      <c r="B25" s="133" t="s">
        <v>154</v>
      </c>
      <c r="C25" s="134" t="s">
        <v>14</v>
      </c>
      <c r="D25" s="115" t="s">
        <v>320</v>
      </c>
      <c r="E25" s="116"/>
      <c r="F25" s="116"/>
      <c r="G25" s="116"/>
      <c r="H25" s="116"/>
      <c r="I25" s="116"/>
      <c r="J25" s="116"/>
      <c r="K25" s="116"/>
      <c r="L25" s="116"/>
    </row>
    <row r="26" spans="1:12" s="133" customFormat="1" x14ac:dyDescent="0.2">
      <c r="B26" s="133" t="s">
        <v>155</v>
      </c>
      <c r="C26" s="134" t="s">
        <v>14</v>
      </c>
      <c r="D26" s="335" t="s">
        <v>320</v>
      </c>
      <c r="E26" s="116"/>
      <c r="F26" s="116"/>
      <c r="G26" s="116"/>
      <c r="H26" s="116"/>
      <c r="I26" s="116"/>
      <c r="J26" s="116"/>
      <c r="K26" s="116"/>
      <c r="L26" s="116"/>
    </row>
    <row r="27" spans="1:12" s="133" customFormat="1" x14ac:dyDescent="0.2">
      <c r="C27" s="134"/>
      <c r="D27" s="115"/>
      <c r="E27" s="116"/>
      <c r="F27" s="116"/>
      <c r="G27" s="116"/>
      <c r="H27" s="116"/>
      <c r="I27" s="116"/>
      <c r="J27" s="116"/>
      <c r="K27" s="116"/>
      <c r="L27" s="116"/>
    </row>
    <row r="28" spans="1:12" s="133" customFormat="1" x14ac:dyDescent="0.2">
      <c r="B28" s="133" t="s">
        <v>16</v>
      </c>
      <c r="C28" s="134" t="s">
        <v>24</v>
      </c>
      <c r="D28" s="115"/>
      <c r="E28" s="336"/>
      <c r="F28" s="116"/>
      <c r="G28" s="116"/>
      <c r="H28" s="116"/>
      <c r="I28" s="116"/>
      <c r="J28" s="116"/>
      <c r="K28" s="116"/>
      <c r="L28" s="116"/>
    </row>
    <row r="29" spans="1:12" s="133" customFormat="1" x14ac:dyDescent="0.2">
      <c r="B29" s="133" t="s">
        <v>25</v>
      </c>
      <c r="C29" s="134">
        <v>30</v>
      </c>
      <c r="D29" s="115"/>
      <c r="E29" s="116"/>
      <c r="F29" s="116"/>
      <c r="H29" s="116"/>
      <c r="I29" s="116"/>
      <c r="J29" s="116"/>
      <c r="K29" s="116"/>
      <c r="L29" s="116"/>
    </row>
    <row r="30" spans="1:12" s="133" customFormat="1" x14ac:dyDescent="0.2">
      <c r="C30" s="134"/>
      <c r="E30" s="116"/>
      <c r="F30" s="116"/>
      <c r="H30" s="116"/>
      <c r="I30" s="116"/>
      <c r="J30" s="116"/>
      <c r="K30" s="116"/>
      <c r="L30" s="116"/>
    </row>
    <row r="31" spans="1:12" s="133" customFormat="1" x14ac:dyDescent="0.2">
      <c r="A31" s="112"/>
      <c r="B31" s="139" t="s">
        <v>208</v>
      </c>
      <c r="C31" s="134" t="s">
        <v>48</v>
      </c>
      <c r="L31" s="116"/>
    </row>
    <row r="32" spans="1:12" s="133" customFormat="1" x14ac:dyDescent="0.2">
      <c r="B32" s="133" t="s">
        <v>157</v>
      </c>
      <c r="C32" s="135">
        <v>-0.1</v>
      </c>
      <c r="E32" s="116"/>
      <c r="F32" s="116"/>
      <c r="G32" s="116"/>
      <c r="H32" s="116"/>
      <c r="I32" s="116"/>
      <c r="J32" s="116"/>
      <c r="K32" s="116"/>
      <c r="L32" s="116"/>
    </row>
    <row r="33" spans="1:17" s="133" customFormat="1" x14ac:dyDescent="0.2">
      <c r="B33" s="133" t="s">
        <v>156</v>
      </c>
      <c r="C33" s="135" t="s">
        <v>24</v>
      </c>
      <c r="E33" s="116"/>
      <c r="F33" s="116"/>
      <c r="G33" s="116"/>
      <c r="H33" s="116"/>
      <c r="I33" s="116"/>
      <c r="J33" s="116"/>
      <c r="K33" s="116"/>
      <c r="L33" s="116"/>
    </row>
    <row r="34" spans="1:17" s="133" customFormat="1" x14ac:dyDescent="0.2">
      <c r="B34" s="133" t="s">
        <v>158</v>
      </c>
      <c r="C34" s="134" t="s">
        <v>24</v>
      </c>
      <c r="E34" s="116"/>
      <c r="F34" s="116"/>
      <c r="G34" s="116"/>
      <c r="H34" s="116"/>
      <c r="I34" s="116"/>
      <c r="J34" s="116"/>
      <c r="K34" s="116"/>
      <c r="L34" s="116"/>
    </row>
    <row r="35" spans="1:17" s="133" customFormat="1" x14ac:dyDescent="0.2">
      <c r="B35" s="133" t="s">
        <v>273</v>
      </c>
      <c r="C35" s="134" t="s">
        <v>48</v>
      </c>
      <c r="E35" s="116"/>
      <c r="F35" s="116"/>
      <c r="G35" s="116"/>
      <c r="H35" s="116"/>
      <c r="I35" s="116"/>
      <c r="J35" s="116"/>
      <c r="K35" s="116"/>
      <c r="L35" s="116"/>
    </row>
    <row r="36" spans="1:17" s="133" customFormat="1" x14ac:dyDescent="0.2">
      <c r="B36" s="133" t="s">
        <v>274</v>
      </c>
      <c r="C36" s="134" t="s">
        <v>48</v>
      </c>
      <c r="E36" s="116"/>
      <c r="F36" s="116"/>
      <c r="G36" s="116"/>
      <c r="H36" s="116"/>
      <c r="I36" s="116"/>
      <c r="J36" s="116"/>
      <c r="K36" s="116"/>
      <c r="L36" s="116"/>
    </row>
    <row r="37" spans="1:17" s="159" customFormat="1" x14ac:dyDescent="0.2">
      <c r="E37" s="337"/>
      <c r="F37" s="337"/>
      <c r="G37" s="337"/>
      <c r="H37" s="337"/>
      <c r="I37" s="337"/>
      <c r="J37" s="337"/>
      <c r="K37" s="337"/>
      <c r="L37" s="337"/>
    </row>
    <row r="38" spans="1:17" x14ac:dyDescent="0.2">
      <c r="B38" s="139" t="s">
        <v>267</v>
      </c>
      <c r="C38" s="338" t="s">
        <v>268</v>
      </c>
      <c r="E38" s="188"/>
      <c r="F38" s="188"/>
      <c r="G38" s="188"/>
      <c r="H38" s="188"/>
      <c r="I38" s="188"/>
      <c r="J38" s="188"/>
      <c r="K38" s="188"/>
      <c r="L38" s="188"/>
    </row>
    <row r="39" spans="1:17" x14ac:dyDescent="0.2">
      <c r="B39" s="139" t="s">
        <v>269</v>
      </c>
      <c r="C39" s="338" t="s">
        <v>321</v>
      </c>
      <c r="E39" s="188"/>
      <c r="F39" s="188"/>
      <c r="G39" s="188"/>
      <c r="H39" s="188"/>
      <c r="I39" s="188"/>
      <c r="J39" s="188"/>
      <c r="K39" s="188"/>
      <c r="L39" s="188"/>
    </row>
    <row r="40" spans="1:17" x14ac:dyDescent="0.2">
      <c r="B40" s="139" t="s">
        <v>263</v>
      </c>
      <c r="C40" s="134" t="s">
        <v>322</v>
      </c>
      <c r="E40" s="188"/>
      <c r="F40" s="188"/>
      <c r="G40" s="188"/>
      <c r="H40" s="188"/>
      <c r="I40" s="188"/>
      <c r="J40" s="188"/>
      <c r="K40" s="188"/>
      <c r="L40" s="188"/>
    </row>
    <row r="41" spans="1:17" x14ac:dyDescent="0.2">
      <c r="A41" s="154" t="s">
        <v>21</v>
      </c>
      <c r="B41" s="139" t="s">
        <v>323</v>
      </c>
      <c r="C41" s="134" t="s">
        <v>324</v>
      </c>
      <c r="E41" s="188"/>
      <c r="F41" s="188"/>
      <c r="G41" s="188"/>
      <c r="H41" s="188"/>
      <c r="I41" s="188"/>
      <c r="J41" s="188"/>
      <c r="K41" s="188"/>
      <c r="L41" s="188"/>
    </row>
    <row r="42" spans="1:17" x14ac:dyDescent="0.2">
      <c r="B42" s="139" t="s">
        <v>302</v>
      </c>
      <c r="C42" s="339">
        <v>0.6</v>
      </c>
      <c r="E42" s="188"/>
      <c r="F42" s="188"/>
      <c r="G42" s="188"/>
      <c r="H42" s="188"/>
      <c r="I42" s="188"/>
      <c r="J42" s="188"/>
      <c r="K42" s="188"/>
      <c r="L42" s="188"/>
    </row>
    <row r="43" spans="1:17" x14ac:dyDescent="0.2">
      <c r="A43" s="154" t="s">
        <v>21</v>
      </c>
      <c r="B43" s="340" t="s">
        <v>325</v>
      </c>
      <c r="C43" s="340" t="s">
        <v>326</v>
      </c>
      <c r="E43" s="188"/>
      <c r="F43" s="188"/>
      <c r="G43" s="188"/>
      <c r="H43" s="188"/>
      <c r="I43" s="188"/>
      <c r="J43" s="188"/>
      <c r="K43" s="188"/>
      <c r="L43" s="188"/>
    </row>
    <row r="44" spans="1:17" x14ac:dyDescent="0.2">
      <c r="B44" s="340" t="s">
        <v>262</v>
      </c>
      <c r="C44" s="134" t="s">
        <v>24</v>
      </c>
      <c r="E44" s="188"/>
      <c r="F44" s="188"/>
      <c r="G44" s="188"/>
      <c r="H44" s="188"/>
      <c r="I44" s="188"/>
      <c r="J44" s="188"/>
      <c r="K44" s="188"/>
      <c r="L44" s="188"/>
    </row>
    <row r="45" spans="1:17" x14ac:dyDescent="0.2">
      <c r="B45" s="340"/>
      <c r="C45" s="134"/>
      <c r="E45" s="188"/>
      <c r="F45" s="188"/>
      <c r="G45" s="188"/>
      <c r="H45" s="188"/>
      <c r="I45" s="188"/>
      <c r="J45" s="188"/>
      <c r="K45" s="188"/>
      <c r="L45" s="188"/>
    </row>
    <row r="46" spans="1:17" x14ac:dyDescent="0.2">
      <c r="B46" s="341" t="s">
        <v>300</v>
      </c>
      <c r="C46" s="138" t="s">
        <v>327</v>
      </c>
      <c r="D46" s="341"/>
    </row>
    <row r="47" spans="1:17" s="133" customFormat="1" ht="13.5" x14ac:dyDescent="0.25">
      <c r="A47" s="144"/>
      <c r="B47" s="133" t="s">
        <v>328</v>
      </c>
      <c r="C47" s="134">
        <v>4</v>
      </c>
      <c r="F47" s="125"/>
      <c r="G47" s="125"/>
      <c r="H47" s="125"/>
      <c r="I47" s="125"/>
      <c r="J47" s="125"/>
      <c r="K47" s="125"/>
      <c r="L47" s="125"/>
      <c r="P47" s="116"/>
      <c r="Q47" s="116"/>
    </row>
    <row r="48" spans="1:17" x14ac:dyDescent="0.2">
      <c r="B48" s="341" t="s">
        <v>329</v>
      </c>
      <c r="C48" s="342">
        <v>0.05</v>
      </c>
      <c r="D48" s="343" t="s">
        <v>90</v>
      </c>
    </row>
    <row r="49" spans="1:12" x14ac:dyDescent="0.2">
      <c r="B49" s="341" t="s">
        <v>330</v>
      </c>
      <c r="C49" s="342">
        <v>0.6</v>
      </c>
      <c r="D49" s="343" t="s">
        <v>90</v>
      </c>
    </row>
    <row r="50" spans="1:12" x14ac:dyDescent="0.2">
      <c r="B50" s="341" t="s">
        <v>331</v>
      </c>
      <c r="C50" s="342">
        <v>0.05</v>
      </c>
      <c r="D50" s="343" t="s">
        <v>332</v>
      </c>
    </row>
    <row r="51" spans="1:12" x14ac:dyDescent="0.2">
      <c r="B51" s="341" t="s">
        <v>266</v>
      </c>
      <c r="C51" s="344">
        <v>250</v>
      </c>
      <c r="D51" s="343" t="s">
        <v>333</v>
      </c>
    </row>
    <row r="52" spans="1:12" x14ac:dyDescent="0.2">
      <c r="B52" s="341" t="s">
        <v>262</v>
      </c>
      <c r="C52" s="342" t="s">
        <v>24</v>
      </c>
      <c r="D52" s="343"/>
      <c r="E52" s="188"/>
      <c r="F52" s="188"/>
      <c r="G52" s="188"/>
      <c r="H52" s="188"/>
      <c r="I52" s="188"/>
      <c r="J52" s="188"/>
      <c r="K52" s="188"/>
      <c r="L52" s="188"/>
    </row>
    <row r="54" spans="1:12" s="119" customFormat="1" ht="63.75" x14ac:dyDescent="0.2">
      <c r="A54" s="119" t="s">
        <v>15</v>
      </c>
      <c r="B54" s="119" t="s">
        <v>10</v>
      </c>
      <c r="C54" s="141" t="s">
        <v>11</v>
      </c>
      <c r="D54" s="118" t="s">
        <v>12</v>
      </c>
      <c r="E54" s="116" t="s">
        <v>27</v>
      </c>
      <c r="F54" s="141" t="s">
        <v>149</v>
      </c>
      <c r="G54" s="141" t="s">
        <v>150</v>
      </c>
      <c r="H54" s="143" t="s">
        <v>143</v>
      </c>
      <c r="I54" s="141" t="s">
        <v>145</v>
      </c>
      <c r="J54" s="141" t="s">
        <v>146</v>
      </c>
      <c r="K54" s="141" t="s">
        <v>155</v>
      </c>
      <c r="L54" s="141" t="s">
        <v>25</v>
      </c>
    </row>
    <row r="55" spans="1:12" s="146" customFormat="1" ht="15.75" x14ac:dyDescent="0.25">
      <c r="A55" s="144" t="s">
        <v>21</v>
      </c>
      <c r="B55" s="145" t="s">
        <v>209</v>
      </c>
      <c r="C55" s="123" t="s">
        <v>13</v>
      </c>
      <c r="D55" s="123" t="s">
        <v>13</v>
      </c>
      <c r="E55" s="123" t="s">
        <v>28</v>
      </c>
      <c r="F55" s="123" t="s">
        <v>210</v>
      </c>
      <c r="G55" s="123" t="s">
        <v>210</v>
      </c>
      <c r="H55" s="123" t="s">
        <v>183</v>
      </c>
      <c r="I55" s="123" t="s">
        <v>22</v>
      </c>
      <c r="J55" s="123" t="s">
        <v>22</v>
      </c>
      <c r="K55" s="123" t="s">
        <v>334</v>
      </c>
      <c r="L55" s="123"/>
    </row>
    <row r="56" spans="1:12" x14ac:dyDescent="0.2">
      <c r="B56" s="154" t="s">
        <v>335</v>
      </c>
      <c r="C56" s="188">
        <v>2</v>
      </c>
      <c r="D56" s="188">
        <v>0</v>
      </c>
      <c r="E56" s="147" t="s">
        <v>104</v>
      </c>
      <c r="F56" s="345">
        <v>1</v>
      </c>
      <c r="G56" s="345">
        <v>3</v>
      </c>
      <c r="H56" s="188">
        <v>30</v>
      </c>
      <c r="I56" s="188">
        <v>90</v>
      </c>
      <c r="J56" s="188">
        <v>90</v>
      </c>
      <c r="K56" s="188" t="s">
        <v>14</v>
      </c>
      <c r="L56" s="188">
        <v>60</v>
      </c>
    </row>
    <row r="57" spans="1:12" s="159" customFormat="1" x14ac:dyDescent="0.2">
      <c r="F57" s="346"/>
      <c r="G57" s="346"/>
    </row>
    <row r="58" spans="1:12" x14ac:dyDescent="0.2">
      <c r="B58" s="154" t="s">
        <v>336</v>
      </c>
      <c r="C58" s="188">
        <v>120</v>
      </c>
      <c r="D58" s="188">
        <v>0</v>
      </c>
      <c r="E58" s="188"/>
      <c r="F58" s="345">
        <v>1</v>
      </c>
      <c r="G58" s="345">
        <v>3</v>
      </c>
      <c r="H58" s="188">
        <v>30</v>
      </c>
      <c r="I58" s="188">
        <v>100</v>
      </c>
      <c r="J58" s="188">
        <v>100</v>
      </c>
      <c r="K58" s="188" t="s">
        <v>14</v>
      </c>
      <c r="L58" s="188">
        <v>30</v>
      </c>
    </row>
    <row r="59" spans="1:12" x14ac:dyDescent="0.2">
      <c r="B59" s="154" t="s">
        <v>337</v>
      </c>
      <c r="C59" s="188">
        <v>120</v>
      </c>
      <c r="D59" s="188">
        <v>0</v>
      </c>
      <c r="E59" s="188"/>
      <c r="F59" s="345">
        <v>1</v>
      </c>
      <c r="G59" s="345">
        <v>1.6</v>
      </c>
      <c r="H59" s="188">
        <v>30</v>
      </c>
      <c r="I59" s="188">
        <v>100</v>
      </c>
      <c r="J59" s="188">
        <v>100</v>
      </c>
      <c r="K59" s="188" t="s">
        <v>14</v>
      </c>
      <c r="L59" s="188">
        <v>30</v>
      </c>
    </row>
    <row r="60" spans="1:12" x14ac:dyDescent="0.2">
      <c r="B60" s="154" t="s">
        <v>338</v>
      </c>
      <c r="C60" s="188">
        <v>30</v>
      </c>
      <c r="D60" s="188">
        <v>0</v>
      </c>
      <c r="E60" s="188"/>
      <c r="F60" s="345">
        <v>1</v>
      </c>
      <c r="G60" s="345">
        <v>1.6</v>
      </c>
      <c r="H60" s="188">
        <v>30</v>
      </c>
      <c r="I60" s="188">
        <v>100</v>
      </c>
      <c r="J60" s="188">
        <v>100</v>
      </c>
      <c r="K60" s="188" t="s">
        <v>24</v>
      </c>
      <c r="L60" s="188">
        <v>30</v>
      </c>
    </row>
    <row r="61" spans="1:12" x14ac:dyDescent="0.2">
      <c r="B61" s="154" t="s">
        <v>339</v>
      </c>
      <c r="C61" s="188">
        <v>120</v>
      </c>
      <c r="D61" s="188">
        <v>0</v>
      </c>
      <c r="E61" s="188"/>
      <c r="F61" s="345">
        <v>0.4</v>
      </c>
      <c r="G61" s="345">
        <v>0.4</v>
      </c>
      <c r="H61" s="188">
        <v>30</v>
      </c>
      <c r="I61" s="188">
        <v>100</v>
      </c>
      <c r="J61" s="188">
        <v>100</v>
      </c>
      <c r="K61" s="188" t="s">
        <v>14</v>
      </c>
      <c r="L61" s="188">
        <v>30</v>
      </c>
    </row>
    <row r="62" spans="1:12" x14ac:dyDescent="0.2">
      <c r="C62" s="188"/>
      <c r="D62" s="188"/>
      <c r="E62" s="188"/>
      <c r="F62" s="345"/>
      <c r="G62" s="345"/>
      <c r="H62" s="188"/>
      <c r="I62" s="188"/>
      <c r="J62" s="188"/>
      <c r="K62" s="188"/>
      <c r="L62" s="188"/>
    </row>
    <row r="63" spans="1:12" x14ac:dyDescent="0.2">
      <c r="B63" s="154" t="s">
        <v>340</v>
      </c>
      <c r="C63" s="188">
        <v>2</v>
      </c>
      <c r="D63" s="188">
        <v>0</v>
      </c>
      <c r="E63" s="188" t="s">
        <v>341</v>
      </c>
      <c r="F63" s="345">
        <v>0.2</v>
      </c>
      <c r="G63" s="345">
        <v>0</v>
      </c>
      <c r="H63" s="188">
        <v>30</v>
      </c>
      <c r="I63" s="188">
        <v>100</v>
      </c>
      <c r="J63" s="188">
        <v>100</v>
      </c>
      <c r="K63" s="188" t="s">
        <v>14</v>
      </c>
      <c r="L63" s="188">
        <v>10</v>
      </c>
    </row>
    <row r="64" spans="1:12" x14ac:dyDescent="0.2">
      <c r="C64" s="188"/>
      <c r="D64" s="188"/>
      <c r="E64" s="188"/>
      <c r="F64" s="188"/>
      <c r="G64" s="188"/>
      <c r="H64" s="188"/>
      <c r="I64" s="188"/>
      <c r="J64" s="188"/>
      <c r="K64" s="188"/>
      <c r="L64" s="188"/>
    </row>
    <row r="65" spans="1:12" x14ac:dyDescent="0.2">
      <c r="B65" s="154" t="s">
        <v>354</v>
      </c>
      <c r="C65" s="188">
        <v>2</v>
      </c>
      <c r="D65" s="188">
        <v>0</v>
      </c>
      <c r="E65" s="188"/>
      <c r="F65" s="188"/>
      <c r="G65" s="345">
        <v>0.2</v>
      </c>
      <c r="H65" s="188"/>
      <c r="I65" s="188"/>
      <c r="J65" s="188"/>
      <c r="K65" s="188"/>
      <c r="L65" s="188"/>
    </row>
    <row r="66" spans="1:12" x14ac:dyDescent="0.2">
      <c r="C66" s="188"/>
      <c r="D66" s="188"/>
      <c r="E66" s="188"/>
      <c r="F66" s="188"/>
      <c r="G66" s="188"/>
      <c r="H66" s="188"/>
      <c r="I66" s="188"/>
      <c r="J66" s="188"/>
      <c r="K66" s="188"/>
      <c r="L66" s="188"/>
    </row>
    <row r="67" spans="1:12" s="133" customFormat="1" x14ac:dyDescent="0.2">
      <c r="A67" s="112" t="s">
        <v>30</v>
      </c>
      <c r="B67" s="148" t="s">
        <v>31</v>
      </c>
      <c r="C67" s="149" t="s">
        <v>104</v>
      </c>
      <c r="F67" s="125"/>
      <c r="G67" s="125"/>
      <c r="H67" s="125"/>
      <c r="I67" s="125"/>
      <c r="J67" s="125"/>
      <c r="K67" s="125"/>
      <c r="L67" s="125"/>
    </row>
    <row r="68" spans="1:12" s="133" customFormat="1" x14ac:dyDescent="0.2">
      <c r="A68" s="112"/>
      <c r="B68" s="150" t="s">
        <v>8</v>
      </c>
      <c r="C68" s="150" t="s">
        <v>96</v>
      </c>
      <c r="F68" s="125"/>
      <c r="G68" s="125"/>
      <c r="H68" s="125"/>
      <c r="I68" s="125"/>
      <c r="J68" s="125"/>
      <c r="K68" s="125"/>
      <c r="L68" s="125"/>
    </row>
    <row r="69" spans="1:12" s="133" customFormat="1" x14ac:dyDescent="0.2">
      <c r="A69" s="112"/>
      <c r="B69" s="150" t="s">
        <v>45</v>
      </c>
      <c r="C69" s="150" t="s">
        <v>33</v>
      </c>
      <c r="F69" s="125"/>
      <c r="G69" s="125"/>
      <c r="H69" s="125"/>
      <c r="I69" s="125"/>
      <c r="J69" s="125"/>
      <c r="K69" s="125"/>
      <c r="L69" s="125"/>
    </row>
    <row r="70" spans="1:12" s="133" customFormat="1" x14ac:dyDescent="0.2">
      <c r="A70" s="112"/>
      <c r="B70" s="150" t="s">
        <v>17</v>
      </c>
      <c r="C70" s="150">
        <v>1800</v>
      </c>
      <c r="F70" s="125"/>
      <c r="G70" s="125"/>
      <c r="H70" s="125"/>
      <c r="I70" s="125"/>
      <c r="J70" s="125"/>
      <c r="K70" s="125"/>
      <c r="L70" s="125"/>
    </row>
    <row r="71" spans="1:12" s="133" customFormat="1" x14ac:dyDescent="0.2">
      <c r="B71" s="150" t="s">
        <v>34</v>
      </c>
      <c r="C71" s="150" t="s">
        <v>97</v>
      </c>
    </row>
    <row r="72" spans="1:12" s="133" customFormat="1" x14ac:dyDescent="0.2">
      <c r="B72" s="150" t="s">
        <v>98</v>
      </c>
      <c r="C72" s="151" t="s">
        <v>161</v>
      </c>
    </row>
    <row r="73" spans="1:12" s="133" customFormat="1" x14ac:dyDescent="0.2">
      <c r="B73" s="150" t="s">
        <v>99</v>
      </c>
      <c r="C73" s="151" t="s">
        <v>144</v>
      </c>
    </row>
    <row r="74" spans="1:12" s="133" customFormat="1" x14ac:dyDescent="0.2">
      <c r="B74" s="150" t="s">
        <v>100</v>
      </c>
      <c r="C74" s="150">
        <v>0.2</v>
      </c>
    </row>
    <row r="75" spans="1:12" s="133" customFormat="1" x14ac:dyDescent="0.2">
      <c r="B75" s="150" t="s">
        <v>101</v>
      </c>
      <c r="C75" s="150">
        <v>60</v>
      </c>
    </row>
    <row r="76" spans="1:12" s="133" customFormat="1" x14ac:dyDescent="0.2">
      <c r="B76" s="150" t="s">
        <v>34</v>
      </c>
      <c r="C76" s="150" t="s">
        <v>97</v>
      </c>
    </row>
    <row r="77" spans="1:12" s="133" customFormat="1" x14ac:dyDescent="0.2">
      <c r="B77" s="150" t="s">
        <v>98</v>
      </c>
      <c r="C77" s="151" t="s">
        <v>162</v>
      </c>
    </row>
    <row r="78" spans="1:12" s="133" customFormat="1" x14ac:dyDescent="0.2">
      <c r="B78" s="150" t="s">
        <v>99</v>
      </c>
      <c r="C78" s="151">
        <v>29</v>
      </c>
    </row>
    <row r="79" spans="1:12" s="133" customFormat="1" x14ac:dyDescent="0.2">
      <c r="B79" s="150" t="s">
        <v>100</v>
      </c>
      <c r="C79" s="150">
        <v>1.2</v>
      </c>
    </row>
    <row r="80" spans="1:12" s="133" customFormat="1" x14ac:dyDescent="0.2">
      <c r="B80" s="150" t="s">
        <v>101</v>
      </c>
      <c r="C80" s="150">
        <v>60</v>
      </c>
    </row>
    <row r="81" spans="1:32" s="133" customFormat="1" x14ac:dyDescent="0.2">
      <c r="B81" s="150" t="s">
        <v>34</v>
      </c>
      <c r="C81" s="150" t="s">
        <v>97</v>
      </c>
    </row>
    <row r="82" spans="1:32" s="133" customFormat="1" x14ac:dyDescent="0.2">
      <c r="B82" s="150" t="s">
        <v>98</v>
      </c>
      <c r="C82" s="151" t="s">
        <v>163</v>
      </c>
    </row>
    <row r="83" spans="1:32" s="133" customFormat="1" x14ac:dyDescent="0.2">
      <c r="B83" s="150" t="s">
        <v>99</v>
      </c>
      <c r="C83" s="151">
        <v>29</v>
      </c>
    </row>
    <row r="84" spans="1:32" s="133" customFormat="1" x14ac:dyDescent="0.2">
      <c r="B84" s="150" t="s">
        <v>100</v>
      </c>
      <c r="C84" s="150">
        <v>1.2</v>
      </c>
    </row>
    <row r="85" spans="1:32" s="133" customFormat="1" x14ac:dyDescent="0.2">
      <c r="B85" s="150" t="s">
        <v>101</v>
      </c>
      <c r="C85" s="150">
        <v>60</v>
      </c>
    </row>
    <row r="86" spans="1:32" s="341" customFormat="1" x14ac:dyDescent="0.2">
      <c r="A86" s="347"/>
      <c r="C86" s="348"/>
      <c r="E86" s="117"/>
    </row>
    <row r="87" spans="1:32" x14ac:dyDescent="0.2">
      <c r="A87" s="154" t="s">
        <v>30</v>
      </c>
      <c r="B87" s="154" t="s">
        <v>31</v>
      </c>
      <c r="C87" s="154" t="s">
        <v>341</v>
      </c>
    </row>
    <row r="88" spans="1:32" x14ac:dyDescent="0.2">
      <c r="B88" s="341" t="s">
        <v>8</v>
      </c>
      <c r="C88" s="341" t="s">
        <v>9</v>
      </c>
      <c r="D88" s="341"/>
    </row>
    <row r="89" spans="1:32" x14ac:dyDescent="0.2">
      <c r="B89" s="341" t="s">
        <v>17</v>
      </c>
      <c r="C89" s="341">
        <v>30</v>
      </c>
      <c r="D89" s="341" t="s">
        <v>342</v>
      </c>
    </row>
    <row r="90" spans="1:32" s="352" customFormat="1" x14ac:dyDescent="0.2">
      <c r="A90" s="341"/>
      <c r="B90" s="341" t="s">
        <v>206</v>
      </c>
      <c r="C90" s="138" t="s">
        <v>14</v>
      </c>
      <c r="D90" s="341"/>
      <c r="E90" s="341"/>
      <c r="F90" s="349"/>
      <c r="G90" s="159"/>
      <c r="H90" s="349"/>
      <c r="I90" s="349"/>
      <c r="J90" s="349"/>
      <c r="K90" s="350"/>
      <c r="L90" s="350"/>
      <c r="M90" s="350"/>
      <c r="N90" s="350"/>
      <c r="O90" s="350"/>
      <c r="P90" s="351"/>
      <c r="Q90" s="351"/>
      <c r="R90" s="349"/>
      <c r="S90" s="349"/>
      <c r="T90" s="349"/>
      <c r="U90" s="349"/>
      <c r="V90" s="349"/>
      <c r="W90" s="349"/>
      <c r="X90" s="349"/>
      <c r="Y90" s="349"/>
      <c r="Z90" s="349"/>
      <c r="AA90" s="349"/>
      <c r="AB90" s="349"/>
      <c r="AC90" s="349"/>
      <c r="AD90" s="349"/>
      <c r="AE90" s="349"/>
      <c r="AF90" s="349"/>
    </row>
    <row r="91" spans="1:32" s="352" customFormat="1" x14ac:dyDescent="0.2">
      <c r="A91" s="341"/>
      <c r="B91" s="341" t="s">
        <v>207</v>
      </c>
      <c r="C91" s="138"/>
      <c r="D91" s="341"/>
      <c r="E91" s="341"/>
      <c r="F91" s="349"/>
      <c r="G91" s="159"/>
      <c r="H91" s="349"/>
      <c r="I91" s="349"/>
      <c r="J91" s="349"/>
      <c r="K91" s="350"/>
      <c r="L91" s="350"/>
      <c r="M91" s="350"/>
      <c r="N91" s="350"/>
      <c r="O91" s="350"/>
      <c r="P91" s="351"/>
      <c r="Q91" s="351"/>
      <c r="R91" s="349"/>
      <c r="S91" s="349"/>
      <c r="T91" s="349"/>
      <c r="U91" s="349"/>
      <c r="V91" s="349"/>
      <c r="W91" s="349"/>
      <c r="X91" s="349"/>
      <c r="Y91" s="349"/>
      <c r="Z91" s="349"/>
      <c r="AA91" s="349"/>
      <c r="AB91" s="349"/>
      <c r="AC91" s="349"/>
      <c r="AD91" s="349"/>
      <c r="AE91" s="349"/>
      <c r="AF91" s="349"/>
    </row>
    <row r="92" spans="1:32" s="352" customFormat="1" x14ac:dyDescent="0.2">
      <c r="A92" s="341"/>
      <c r="B92" s="341" t="s">
        <v>275</v>
      </c>
      <c r="C92" s="138" t="s">
        <v>92</v>
      </c>
      <c r="D92" s="341"/>
      <c r="E92" s="341"/>
      <c r="F92" s="349"/>
      <c r="G92" s="159"/>
      <c r="H92" s="349"/>
      <c r="I92" s="349"/>
      <c r="J92" s="349"/>
      <c r="K92" s="350"/>
      <c r="L92" s="350"/>
      <c r="M92" s="350"/>
      <c r="N92" s="350"/>
      <c r="O92" s="350"/>
      <c r="P92" s="351"/>
      <c r="Q92" s="351"/>
      <c r="R92" s="349"/>
      <c r="S92" s="349"/>
      <c r="T92" s="349"/>
      <c r="U92" s="349"/>
      <c r="V92" s="349"/>
      <c r="W92" s="349"/>
      <c r="X92" s="349"/>
      <c r="Y92" s="349"/>
      <c r="Z92" s="349"/>
      <c r="AA92" s="349"/>
      <c r="AB92" s="349"/>
      <c r="AC92" s="349"/>
      <c r="AD92" s="349"/>
      <c r="AE92" s="349"/>
      <c r="AF92" s="349"/>
    </row>
    <row r="93" spans="1:32" s="352" customFormat="1" x14ac:dyDescent="0.2">
      <c r="A93" s="341"/>
      <c r="B93" s="341"/>
      <c r="C93" s="138"/>
      <c r="D93" s="341"/>
      <c r="E93" s="341"/>
      <c r="F93" s="349"/>
      <c r="G93" s="159"/>
      <c r="H93" s="349"/>
      <c r="I93" s="349"/>
      <c r="J93" s="349"/>
      <c r="K93" s="350"/>
      <c r="L93" s="350"/>
      <c r="M93" s="350"/>
      <c r="N93" s="350"/>
      <c r="O93" s="350"/>
      <c r="P93" s="351"/>
      <c r="Q93" s="351"/>
      <c r="R93" s="349"/>
      <c r="S93" s="349"/>
      <c r="T93" s="349"/>
      <c r="U93" s="349"/>
      <c r="V93" s="349"/>
      <c r="W93" s="349"/>
      <c r="X93" s="349"/>
      <c r="Y93" s="349"/>
      <c r="Z93" s="349"/>
      <c r="AA93" s="349"/>
      <c r="AB93" s="349"/>
      <c r="AC93" s="349"/>
      <c r="AD93" s="349"/>
      <c r="AE93" s="349"/>
      <c r="AF93" s="349"/>
    </row>
    <row r="94" spans="1:32" x14ac:dyDescent="0.2">
      <c r="B94" s="341" t="s">
        <v>8</v>
      </c>
      <c r="C94" s="341" t="s">
        <v>9</v>
      </c>
      <c r="D94" s="341"/>
    </row>
    <row r="95" spans="1:32" x14ac:dyDescent="0.2">
      <c r="B95" s="341" t="s">
        <v>17</v>
      </c>
      <c r="C95" s="341">
        <v>30</v>
      </c>
      <c r="D95" s="341" t="s">
        <v>342</v>
      </c>
    </row>
    <row r="96" spans="1:32" x14ac:dyDescent="0.2">
      <c r="B96" s="341" t="s">
        <v>303</v>
      </c>
      <c r="C96" s="138" t="s">
        <v>24</v>
      </c>
      <c r="D96" s="341"/>
    </row>
    <row r="97" spans="1:32" x14ac:dyDescent="0.2">
      <c r="B97" s="341"/>
      <c r="C97" s="341"/>
      <c r="D97" s="341"/>
    </row>
    <row r="98" spans="1:32" x14ac:dyDescent="0.2">
      <c r="B98" s="341" t="s">
        <v>8</v>
      </c>
      <c r="C98" s="176" t="s">
        <v>32</v>
      </c>
      <c r="D98" s="341"/>
    </row>
    <row r="99" spans="1:32" x14ac:dyDescent="0.2">
      <c r="B99" s="341" t="s">
        <v>34</v>
      </c>
      <c r="C99" s="176" t="s">
        <v>42</v>
      </c>
      <c r="D99" s="341"/>
    </row>
    <row r="100" spans="1:32" x14ac:dyDescent="0.2">
      <c r="B100" s="341" t="s">
        <v>343</v>
      </c>
      <c r="C100" s="138" t="s">
        <v>14</v>
      </c>
      <c r="D100" s="341"/>
    </row>
    <row r="102" spans="1:32" x14ac:dyDescent="0.2">
      <c r="B102" s="341" t="s">
        <v>8</v>
      </c>
      <c r="C102" s="341" t="s">
        <v>9</v>
      </c>
      <c r="D102" s="341"/>
    </row>
    <row r="103" spans="1:32" x14ac:dyDescent="0.2">
      <c r="B103" s="341" t="s">
        <v>17</v>
      </c>
      <c r="C103" s="341">
        <v>15</v>
      </c>
      <c r="D103" s="341" t="s">
        <v>342</v>
      </c>
    </row>
    <row r="104" spans="1:32" x14ac:dyDescent="0.2">
      <c r="B104" s="341" t="s">
        <v>303</v>
      </c>
      <c r="C104" s="138" t="s">
        <v>14</v>
      </c>
      <c r="D104" s="341"/>
    </row>
    <row r="105" spans="1:32" x14ac:dyDescent="0.2">
      <c r="B105" s="341"/>
      <c r="C105" s="341"/>
      <c r="D105" s="341"/>
    </row>
    <row r="106" spans="1:32" x14ac:dyDescent="0.2">
      <c r="B106" s="341" t="s">
        <v>8</v>
      </c>
      <c r="C106" s="341" t="s">
        <v>9</v>
      </c>
      <c r="D106" s="341"/>
    </row>
    <row r="107" spans="1:32" x14ac:dyDescent="0.2">
      <c r="B107" s="341" t="s">
        <v>17</v>
      </c>
      <c r="C107" s="341">
        <v>2</v>
      </c>
      <c r="D107" s="341" t="s">
        <v>342</v>
      </c>
    </row>
    <row r="108" spans="1:32" s="352" customFormat="1" x14ac:dyDescent="0.2">
      <c r="A108" s="341"/>
      <c r="B108" s="341" t="s">
        <v>206</v>
      </c>
      <c r="C108" s="138" t="s">
        <v>92</v>
      </c>
      <c r="D108" s="341"/>
      <c r="E108" s="341"/>
      <c r="F108" s="349"/>
      <c r="G108" s="159"/>
      <c r="H108" s="349"/>
      <c r="I108" s="349"/>
      <c r="J108" s="349"/>
      <c r="K108" s="350"/>
      <c r="L108" s="350"/>
      <c r="M108" s="350"/>
      <c r="N108" s="350"/>
      <c r="O108" s="350"/>
      <c r="P108" s="351"/>
      <c r="Q108" s="351"/>
      <c r="R108" s="349"/>
      <c r="S108" s="349"/>
      <c r="T108" s="349"/>
      <c r="U108" s="349"/>
      <c r="V108" s="349"/>
      <c r="W108" s="349"/>
      <c r="X108" s="349"/>
      <c r="Y108" s="349"/>
      <c r="Z108" s="349"/>
      <c r="AA108" s="349"/>
      <c r="AB108" s="349"/>
      <c r="AC108" s="349"/>
      <c r="AD108" s="349"/>
      <c r="AE108" s="349"/>
      <c r="AF108" s="349"/>
    </row>
    <row r="109" spans="1:32" s="352" customFormat="1" x14ac:dyDescent="0.2">
      <c r="A109" s="341"/>
      <c r="B109" s="341" t="s">
        <v>207</v>
      </c>
      <c r="C109" s="138" t="s">
        <v>92</v>
      </c>
      <c r="D109" s="341"/>
      <c r="E109" s="341"/>
      <c r="F109" s="349"/>
      <c r="G109" s="159"/>
      <c r="H109" s="349"/>
      <c r="I109" s="349"/>
      <c r="J109" s="349"/>
      <c r="K109" s="350"/>
      <c r="L109" s="350"/>
      <c r="M109" s="350"/>
      <c r="N109" s="350"/>
      <c r="O109" s="350"/>
      <c r="P109" s="351"/>
      <c r="Q109" s="351"/>
      <c r="R109" s="349"/>
      <c r="S109" s="349"/>
      <c r="T109" s="349"/>
      <c r="U109" s="349"/>
      <c r="V109" s="349"/>
      <c r="W109" s="349"/>
      <c r="X109" s="349"/>
      <c r="Y109" s="349"/>
      <c r="Z109" s="349"/>
      <c r="AA109" s="349"/>
      <c r="AB109" s="349"/>
      <c r="AC109" s="349"/>
      <c r="AD109" s="349"/>
      <c r="AE109" s="349"/>
      <c r="AF109" s="349"/>
    </row>
    <row r="110" spans="1:32" s="352" customFormat="1" x14ac:dyDescent="0.2">
      <c r="A110" s="341"/>
      <c r="B110" s="341" t="s">
        <v>275</v>
      </c>
      <c r="C110" s="138" t="s">
        <v>48</v>
      </c>
      <c r="D110" s="341"/>
      <c r="E110" s="341"/>
      <c r="F110" s="349"/>
      <c r="G110" s="159"/>
      <c r="H110" s="349"/>
      <c r="I110" s="349"/>
      <c r="J110" s="349"/>
      <c r="K110" s="350"/>
      <c r="L110" s="350"/>
      <c r="M110" s="350"/>
      <c r="N110" s="350"/>
      <c r="O110" s="350"/>
      <c r="P110" s="351"/>
      <c r="Q110" s="351"/>
      <c r="R110" s="349"/>
      <c r="S110" s="349"/>
      <c r="T110" s="349"/>
      <c r="U110" s="349"/>
      <c r="V110" s="349"/>
      <c r="W110" s="349"/>
      <c r="X110" s="349"/>
      <c r="Y110" s="349"/>
      <c r="Z110" s="349"/>
      <c r="AA110" s="349"/>
      <c r="AB110" s="349"/>
      <c r="AC110" s="349"/>
      <c r="AD110" s="349"/>
      <c r="AE110" s="349"/>
      <c r="AF110" s="349"/>
    </row>
    <row r="111" spans="1:32" s="352" customFormat="1" x14ac:dyDescent="0.2">
      <c r="A111" s="341"/>
      <c r="B111" s="341"/>
      <c r="C111" s="138"/>
      <c r="D111" s="341"/>
      <c r="E111" s="341"/>
      <c r="F111" s="349"/>
      <c r="G111" s="159"/>
      <c r="H111" s="349"/>
      <c r="I111" s="349"/>
      <c r="J111" s="349"/>
      <c r="K111" s="350"/>
      <c r="L111" s="350"/>
      <c r="M111" s="350"/>
      <c r="N111" s="350"/>
      <c r="O111" s="350"/>
      <c r="P111" s="351"/>
      <c r="Q111" s="351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</row>
    <row r="112" spans="1:32" s="133" customFormat="1" x14ac:dyDescent="0.2">
      <c r="A112" s="112"/>
      <c r="B112" s="353" t="s">
        <v>8</v>
      </c>
      <c r="C112" s="353" t="s">
        <v>32</v>
      </c>
      <c r="K112" s="116"/>
      <c r="L112" s="116"/>
    </row>
    <row r="113" spans="1:12" s="133" customFormat="1" x14ac:dyDescent="0.2">
      <c r="A113" s="112"/>
      <c r="B113" s="353" t="s">
        <v>45</v>
      </c>
      <c r="C113" s="353" t="s">
        <v>33</v>
      </c>
      <c r="K113" s="116"/>
      <c r="L113" s="116"/>
    </row>
    <row r="114" spans="1:12" s="133" customFormat="1" x14ac:dyDescent="0.2">
      <c r="B114" s="353" t="s">
        <v>17</v>
      </c>
      <c r="C114" s="353">
        <v>600</v>
      </c>
    </row>
    <row r="115" spans="1:12" s="133" customFormat="1" x14ac:dyDescent="0.2">
      <c r="B115" s="353" t="s">
        <v>34</v>
      </c>
      <c r="C115" s="353" t="s">
        <v>42</v>
      </c>
    </row>
    <row r="116" spans="1:12" s="133" customFormat="1" x14ac:dyDescent="0.2">
      <c r="B116" s="353" t="s">
        <v>305</v>
      </c>
      <c r="C116" s="354" t="s">
        <v>48</v>
      </c>
    </row>
    <row r="117" spans="1:12" s="133" customFormat="1" x14ac:dyDescent="0.2">
      <c r="B117" s="353" t="s">
        <v>34</v>
      </c>
      <c r="C117" s="353" t="s">
        <v>42</v>
      </c>
    </row>
    <row r="118" spans="1:12" s="133" customFormat="1" x14ac:dyDescent="0.2">
      <c r="B118" s="353" t="s">
        <v>306</v>
      </c>
      <c r="C118" s="354" t="s">
        <v>48</v>
      </c>
    </row>
    <row r="120" spans="1:12" x14ac:dyDescent="0.2">
      <c r="A120" s="355" t="s">
        <v>6</v>
      </c>
      <c r="B120" s="133"/>
      <c r="C120" s="133"/>
    </row>
    <row r="121" spans="1:12" x14ac:dyDescent="0.2">
      <c r="A121" s="137"/>
      <c r="B121" s="125" t="s">
        <v>8</v>
      </c>
      <c r="C121" s="125" t="s">
        <v>9</v>
      </c>
    </row>
    <row r="122" spans="1:12" x14ac:dyDescent="0.2">
      <c r="A122" s="133"/>
      <c r="B122" s="133" t="s">
        <v>273</v>
      </c>
      <c r="C122" s="134" t="s">
        <v>92</v>
      </c>
    </row>
    <row r="123" spans="1:12" x14ac:dyDescent="0.2">
      <c r="A123" s="133"/>
      <c r="B123" s="133" t="s">
        <v>274</v>
      </c>
      <c r="C123" s="134" t="s">
        <v>92</v>
      </c>
    </row>
    <row r="125" spans="1:12" x14ac:dyDescent="0.2">
      <c r="A125" s="154" t="s">
        <v>7</v>
      </c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1AA7-65A4-4881-90A2-E8D3692B9363}">
  <sheetPr codeName="Sheet12">
    <pageSetUpPr fitToPage="1"/>
  </sheetPr>
  <dimension ref="A1:AB125"/>
  <sheetViews>
    <sheetView topLeftCell="A14" zoomScale="85" zoomScaleNormal="25" zoomScaleSheetLayoutView="70" workbookViewId="0">
      <selection activeCell="C37" sqref="C37"/>
    </sheetView>
  </sheetViews>
  <sheetFormatPr defaultRowHeight="12.75" x14ac:dyDescent="0.2"/>
  <cols>
    <col min="1" max="1" width="11.5703125" style="4" bestFit="1" customWidth="1"/>
    <col min="2" max="2" width="56" style="2" customWidth="1"/>
    <col min="3" max="3" width="20.140625" style="2" customWidth="1"/>
    <col min="4" max="4" width="7.85546875" style="2" customWidth="1"/>
    <col min="5" max="5" width="18.42578125" style="2" bestFit="1" customWidth="1"/>
    <col min="6" max="6" width="8.42578125" style="6" bestFit="1" customWidth="1"/>
    <col min="7" max="7" width="8.7109375" style="6" bestFit="1" customWidth="1"/>
    <col min="8" max="8" width="8.5703125" style="6" bestFit="1" customWidth="1"/>
    <col min="9" max="9" width="9.28515625" style="6" bestFit="1" customWidth="1"/>
    <col min="10" max="10" width="7.5703125" style="6" bestFit="1" customWidth="1"/>
    <col min="11" max="11" width="9.85546875" style="6" bestFit="1" customWidth="1"/>
    <col min="12" max="13" width="8.140625" style="6" customWidth="1"/>
    <col min="14" max="14" width="6.42578125" style="2" bestFit="1" customWidth="1"/>
    <col min="15" max="15" width="9.5703125" style="2" customWidth="1"/>
    <col min="16" max="16" width="9.5703125" style="2" bestFit="1" customWidth="1"/>
    <col min="17" max="18" width="7.5703125" style="1" bestFit="1" customWidth="1"/>
    <col min="19" max="19" width="11.28515625" style="2" customWidth="1"/>
    <col min="20" max="20" width="10.5703125" style="2" customWidth="1"/>
    <col min="21" max="21" width="6.85546875" style="2" bestFit="1" customWidth="1"/>
    <col min="22" max="16384" width="9.140625" style="2"/>
  </cols>
  <sheetData>
    <row r="1" spans="1:20" s="4" customFormat="1" x14ac:dyDescent="0.2">
      <c r="A1" s="4" t="s">
        <v>3</v>
      </c>
      <c r="B1" s="4" t="s">
        <v>4</v>
      </c>
      <c r="C1" s="2"/>
      <c r="E1" s="2"/>
      <c r="F1" s="6"/>
      <c r="G1" s="6"/>
      <c r="H1" s="6"/>
      <c r="I1" s="6"/>
      <c r="J1" s="6"/>
      <c r="K1" s="6"/>
      <c r="L1" s="6"/>
      <c r="M1" s="6"/>
      <c r="N1" s="2"/>
      <c r="O1" s="2"/>
      <c r="P1" s="2"/>
      <c r="Q1" s="1"/>
      <c r="R1" s="1"/>
      <c r="S1" s="2"/>
      <c r="T1" s="2"/>
    </row>
    <row r="2" spans="1:20" x14ac:dyDescent="0.2">
      <c r="A2" s="4" t="s">
        <v>0</v>
      </c>
      <c r="B2" s="3" t="s">
        <v>1</v>
      </c>
      <c r="C2" s="3" t="s">
        <v>2</v>
      </c>
    </row>
    <row r="4" spans="1:20" x14ac:dyDescent="0.2">
      <c r="A4" s="4" t="s">
        <v>5</v>
      </c>
    </row>
    <row r="5" spans="1:20" x14ac:dyDescent="0.2">
      <c r="B5" s="2" t="s">
        <v>8</v>
      </c>
      <c r="C5" s="2" t="s">
        <v>9</v>
      </c>
    </row>
    <row r="6" spans="1:20" x14ac:dyDescent="0.2">
      <c r="B6" s="2" t="s">
        <v>17</v>
      </c>
      <c r="C6" s="25">
        <v>2</v>
      </c>
    </row>
    <row r="7" spans="1:20" x14ac:dyDescent="0.2">
      <c r="B7" s="2" t="s">
        <v>166</v>
      </c>
      <c r="C7" s="25" t="s">
        <v>5</v>
      </c>
    </row>
    <row r="8" spans="1:20" x14ac:dyDescent="0.2">
      <c r="A8" s="4" t="s">
        <v>21</v>
      </c>
      <c r="B8" s="2" t="s">
        <v>191</v>
      </c>
      <c r="C8" s="25" t="s">
        <v>192</v>
      </c>
    </row>
    <row r="9" spans="1:20" x14ac:dyDescent="0.2">
      <c r="B9" s="2" t="s">
        <v>193</v>
      </c>
      <c r="C9" s="25" t="s">
        <v>92</v>
      </c>
    </row>
    <row r="10" spans="1:20" x14ac:dyDescent="0.2">
      <c r="C10" s="25"/>
    </row>
    <row r="11" spans="1:20" x14ac:dyDescent="0.2">
      <c r="B11" s="2" t="s">
        <v>135</v>
      </c>
      <c r="C11" s="25" t="s">
        <v>14</v>
      </c>
    </row>
    <row r="12" spans="1:20" x14ac:dyDescent="0.2">
      <c r="B12" s="2" t="s">
        <v>133</v>
      </c>
      <c r="C12" s="25" t="s">
        <v>68</v>
      </c>
    </row>
    <row r="13" spans="1:20" x14ac:dyDescent="0.2">
      <c r="B13" s="2" t="s">
        <v>136</v>
      </c>
      <c r="C13" s="28">
        <v>1.1000000000000001</v>
      </c>
    </row>
    <row r="14" spans="1:20" x14ac:dyDescent="0.2">
      <c r="B14" s="2" t="s">
        <v>137</v>
      </c>
      <c r="C14" s="94">
        <v>0</v>
      </c>
    </row>
    <row r="15" spans="1:20" x14ac:dyDescent="0.2">
      <c r="C15" s="28"/>
    </row>
    <row r="16" spans="1:20" x14ac:dyDescent="0.2">
      <c r="B16" s="2" t="s">
        <v>167</v>
      </c>
      <c r="C16" s="108">
        <v>100</v>
      </c>
    </row>
    <row r="17" spans="1:28" x14ac:dyDescent="0.2">
      <c r="B17" s="2" t="s">
        <v>139</v>
      </c>
      <c r="C17" s="25">
        <v>0</v>
      </c>
    </row>
    <row r="18" spans="1:28" s="6" customFormat="1" x14ac:dyDescent="0.2">
      <c r="A18" s="5"/>
      <c r="B18" s="6" t="s">
        <v>138</v>
      </c>
      <c r="C18" s="27">
        <v>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28" x14ac:dyDescent="0.2">
      <c r="B19" s="2" t="s">
        <v>149</v>
      </c>
      <c r="C19" s="25">
        <v>0</v>
      </c>
    </row>
    <row r="20" spans="1:28" x14ac:dyDescent="0.2">
      <c r="B20" s="2" t="s">
        <v>150</v>
      </c>
      <c r="C20" s="25">
        <v>0</v>
      </c>
    </row>
    <row r="21" spans="1:28" x14ac:dyDescent="0.2">
      <c r="B21" s="2" t="s">
        <v>151</v>
      </c>
      <c r="C21" s="25" t="s">
        <v>169</v>
      </c>
      <c r="D21" s="3"/>
      <c r="F21" s="2"/>
      <c r="G21" s="2"/>
      <c r="H21" s="2"/>
      <c r="I21" s="2"/>
      <c r="J21" s="2"/>
      <c r="K21" s="2"/>
      <c r="L21" s="2"/>
      <c r="M21" s="2"/>
    </row>
    <row r="22" spans="1:28" x14ac:dyDescent="0.2">
      <c r="C22" s="25"/>
      <c r="D22" s="3"/>
      <c r="F22" s="2"/>
      <c r="G22" s="2"/>
      <c r="H22" s="2"/>
      <c r="I22" s="2"/>
      <c r="J22" s="2"/>
      <c r="K22" s="2"/>
      <c r="L22" s="2"/>
      <c r="M22" s="2"/>
    </row>
    <row r="23" spans="1:28" x14ac:dyDescent="0.2">
      <c r="B23" s="8" t="s">
        <v>152</v>
      </c>
      <c r="C23" s="25" t="s">
        <v>24</v>
      </c>
      <c r="D23" s="3"/>
    </row>
    <row r="24" spans="1:28" x14ac:dyDescent="0.2">
      <c r="B24" s="8" t="s">
        <v>153</v>
      </c>
      <c r="C24" s="25" t="s">
        <v>92</v>
      </c>
      <c r="D24" s="26"/>
    </row>
    <row r="25" spans="1:28" s="33" customFormat="1" x14ac:dyDescent="0.2">
      <c r="A25" s="109"/>
      <c r="B25" s="47" t="s">
        <v>178</v>
      </c>
      <c r="C25" s="27" t="s">
        <v>92</v>
      </c>
      <c r="D25" s="110" t="s">
        <v>179</v>
      </c>
      <c r="Q25" s="111"/>
      <c r="R25" s="111"/>
      <c r="S25" s="111"/>
      <c r="AB25" s="111"/>
    </row>
    <row r="26" spans="1:28" x14ac:dyDescent="0.2">
      <c r="B26" s="2" t="s">
        <v>154</v>
      </c>
      <c r="C26" s="25" t="s">
        <v>14</v>
      </c>
      <c r="D26" s="3"/>
    </row>
    <row r="27" spans="1:28" x14ac:dyDescent="0.2">
      <c r="B27" s="2" t="s">
        <v>155</v>
      </c>
      <c r="C27" s="25" t="s">
        <v>14</v>
      </c>
      <c r="D27" s="3"/>
    </row>
    <row r="28" spans="1:28" x14ac:dyDescent="0.2">
      <c r="C28" s="25"/>
      <c r="D28" s="3"/>
    </row>
    <row r="29" spans="1:28" x14ac:dyDescent="0.2">
      <c r="B29" s="2" t="s">
        <v>16</v>
      </c>
      <c r="C29" s="25" t="s">
        <v>24</v>
      </c>
      <c r="D29" s="3"/>
      <c r="E29" s="3"/>
    </row>
    <row r="30" spans="1:28" x14ac:dyDescent="0.2">
      <c r="B30" s="2" t="s">
        <v>25</v>
      </c>
      <c r="C30" s="25">
        <v>30</v>
      </c>
      <c r="D30" s="3"/>
    </row>
    <row r="31" spans="1:28" x14ac:dyDescent="0.2">
      <c r="A31" s="2"/>
      <c r="B31" s="2" t="s">
        <v>195</v>
      </c>
      <c r="C31" s="25">
        <v>30</v>
      </c>
      <c r="D31" s="3"/>
      <c r="Q31" s="2"/>
      <c r="R31" s="2"/>
    </row>
    <row r="32" spans="1:28" x14ac:dyDescent="0.2">
      <c r="A32" s="2"/>
      <c r="B32" s="2" t="s">
        <v>190</v>
      </c>
      <c r="C32" s="25">
        <v>1</v>
      </c>
      <c r="D32" s="3"/>
      <c r="Q32" s="2"/>
      <c r="R32" s="2"/>
    </row>
    <row r="33" spans="1:21" x14ac:dyDescent="0.2">
      <c r="C33" s="25"/>
    </row>
    <row r="34" spans="1:21" x14ac:dyDescent="0.2">
      <c r="B34" s="2" t="s">
        <v>156</v>
      </c>
      <c r="C34" s="28" t="s">
        <v>24</v>
      </c>
      <c r="F34" s="2"/>
      <c r="G34" s="2"/>
      <c r="H34" s="2"/>
      <c r="I34" s="2"/>
      <c r="J34" s="2"/>
      <c r="K34" s="2"/>
      <c r="L34" s="2"/>
      <c r="M34" s="2"/>
    </row>
    <row r="35" spans="1:21" x14ac:dyDescent="0.2">
      <c r="B35" s="2" t="s">
        <v>157</v>
      </c>
      <c r="C35" s="28">
        <v>-0.1</v>
      </c>
      <c r="F35" s="2"/>
      <c r="G35" s="2"/>
      <c r="H35" s="2"/>
      <c r="I35" s="2"/>
      <c r="J35" s="2"/>
      <c r="K35" s="2"/>
      <c r="L35" s="2"/>
      <c r="M35" s="2"/>
    </row>
    <row r="36" spans="1:21" x14ac:dyDescent="0.2">
      <c r="B36" s="2" t="s">
        <v>158</v>
      </c>
      <c r="C36" s="25" t="s">
        <v>92</v>
      </c>
    </row>
    <row r="37" spans="1:21" x14ac:dyDescent="0.2">
      <c r="B37" s="8"/>
      <c r="C37" s="25"/>
      <c r="Q37" s="2"/>
      <c r="S37" s="1"/>
    </row>
    <row r="38" spans="1:21" s="9" customFormat="1" ht="51" x14ac:dyDescent="0.2">
      <c r="A38" s="9" t="s">
        <v>15</v>
      </c>
      <c r="B38" s="9" t="s">
        <v>10</v>
      </c>
      <c r="C38" s="30" t="s">
        <v>11</v>
      </c>
      <c r="D38" s="17" t="s">
        <v>12</v>
      </c>
      <c r="E38" s="1" t="s">
        <v>27</v>
      </c>
      <c r="F38" s="29" t="s">
        <v>133</v>
      </c>
      <c r="G38" s="22" t="s">
        <v>135</v>
      </c>
      <c r="H38" s="29" t="s">
        <v>136</v>
      </c>
      <c r="I38" s="29" t="s">
        <v>137</v>
      </c>
      <c r="J38" s="29" t="s">
        <v>139</v>
      </c>
      <c r="K38" s="29" t="s">
        <v>140</v>
      </c>
      <c r="L38" s="29" t="s">
        <v>141</v>
      </c>
      <c r="M38" s="29" t="s">
        <v>142</v>
      </c>
      <c r="N38" s="30" t="s">
        <v>143</v>
      </c>
      <c r="O38" s="30" t="s">
        <v>145</v>
      </c>
      <c r="P38" s="30" t="s">
        <v>146</v>
      </c>
      <c r="Q38" s="30" t="s">
        <v>147</v>
      </c>
      <c r="R38" s="30" t="s">
        <v>148</v>
      </c>
      <c r="S38" s="30" t="s">
        <v>25</v>
      </c>
      <c r="T38" s="31" t="s">
        <v>158</v>
      </c>
      <c r="U38" s="30" t="s">
        <v>174</v>
      </c>
    </row>
    <row r="39" spans="1:21" s="12" customFormat="1" ht="26.25" x14ac:dyDescent="0.25">
      <c r="A39" s="10" t="s">
        <v>21</v>
      </c>
      <c r="B39" s="11" t="s">
        <v>56</v>
      </c>
      <c r="C39" s="18" t="s">
        <v>13</v>
      </c>
      <c r="D39" s="18" t="s">
        <v>13</v>
      </c>
      <c r="E39" s="18" t="s">
        <v>28</v>
      </c>
      <c r="F39" s="19" t="s">
        <v>85</v>
      </c>
      <c r="G39" s="19" t="s">
        <v>26</v>
      </c>
      <c r="H39" s="19" t="s">
        <v>18</v>
      </c>
      <c r="I39" s="19" t="s">
        <v>20</v>
      </c>
      <c r="J39" s="19"/>
      <c r="K39" s="19" t="s">
        <v>37</v>
      </c>
      <c r="L39" s="19"/>
      <c r="M39" s="19"/>
      <c r="N39" s="18" t="s">
        <v>59</v>
      </c>
      <c r="O39" s="18" t="s">
        <v>22</v>
      </c>
      <c r="P39" s="18" t="s">
        <v>22</v>
      </c>
      <c r="Q39" s="18" t="s">
        <v>23</v>
      </c>
      <c r="R39" s="18" t="s">
        <v>23</v>
      </c>
      <c r="S39" s="18"/>
      <c r="T39" s="18" t="s">
        <v>43</v>
      </c>
      <c r="U39" s="18" t="s">
        <v>59</v>
      </c>
    </row>
    <row r="40" spans="1:21" ht="13.5" x14ac:dyDescent="0.25">
      <c r="A40" s="10" t="s">
        <v>21</v>
      </c>
      <c r="B40" s="2" t="s">
        <v>114</v>
      </c>
      <c r="C40" s="1">
        <v>2</v>
      </c>
      <c r="D40" s="1">
        <v>0</v>
      </c>
      <c r="E40" s="1" t="s">
        <v>49</v>
      </c>
      <c r="F40" s="20" t="s">
        <v>68</v>
      </c>
      <c r="G40" s="20" t="s">
        <v>14</v>
      </c>
      <c r="H40" s="34">
        <v>1.1000000000000001</v>
      </c>
      <c r="I40" s="21">
        <v>0</v>
      </c>
      <c r="J40" s="32">
        <v>0</v>
      </c>
      <c r="K40" s="21">
        <v>1.5</v>
      </c>
      <c r="L40" s="21">
        <v>2</v>
      </c>
      <c r="M40" s="21">
        <v>2</v>
      </c>
      <c r="N40" s="1">
        <v>40</v>
      </c>
      <c r="O40" s="1">
        <v>100</v>
      </c>
      <c r="P40" s="1">
        <v>100</v>
      </c>
      <c r="Q40" s="1">
        <v>100</v>
      </c>
      <c r="R40" s="1">
        <v>100</v>
      </c>
      <c r="S40" s="1">
        <v>60</v>
      </c>
      <c r="T40" s="1" t="s">
        <v>14</v>
      </c>
      <c r="U40" s="1"/>
    </row>
    <row r="41" spans="1:21" ht="13.5" x14ac:dyDescent="0.25">
      <c r="A41" s="10"/>
      <c r="B41" s="2" t="s">
        <v>57</v>
      </c>
      <c r="C41" s="1">
        <v>2</v>
      </c>
      <c r="D41" s="1">
        <v>0</v>
      </c>
      <c r="E41" s="1" t="s">
        <v>113</v>
      </c>
      <c r="F41" s="20" t="s">
        <v>68</v>
      </c>
      <c r="G41" s="20" t="s">
        <v>14</v>
      </c>
      <c r="H41" s="34">
        <v>1.1000000000000001</v>
      </c>
      <c r="I41" s="21">
        <v>0</v>
      </c>
      <c r="J41" s="32">
        <v>0</v>
      </c>
      <c r="K41" s="21">
        <v>1.5</v>
      </c>
      <c r="L41" s="21">
        <v>2</v>
      </c>
      <c r="M41" s="21">
        <v>2</v>
      </c>
      <c r="N41" s="1">
        <v>40</v>
      </c>
      <c r="O41" s="1">
        <v>100</v>
      </c>
      <c r="P41" s="1">
        <v>100</v>
      </c>
      <c r="Q41" s="1">
        <v>100</v>
      </c>
      <c r="R41" s="1">
        <v>100</v>
      </c>
      <c r="S41" s="1">
        <v>60</v>
      </c>
      <c r="T41" s="1" t="s">
        <v>14</v>
      </c>
      <c r="U41" s="1">
        <f>N41-5</f>
        <v>35</v>
      </c>
    </row>
    <row r="42" spans="1:21" ht="13.5" x14ac:dyDescent="0.25">
      <c r="A42" s="10"/>
      <c r="B42" s="2" t="s">
        <v>58</v>
      </c>
      <c r="C42" s="1">
        <v>2</v>
      </c>
      <c r="D42" s="1">
        <v>0</v>
      </c>
      <c r="E42" s="1" t="s">
        <v>113</v>
      </c>
      <c r="F42" s="20"/>
      <c r="G42" s="20"/>
      <c r="H42" s="34"/>
      <c r="I42" s="21"/>
      <c r="J42" s="32"/>
      <c r="K42" s="21"/>
      <c r="L42" s="21"/>
      <c r="M42" s="21"/>
      <c r="N42" s="1">
        <v>60</v>
      </c>
      <c r="O42" s="1"/>
      <c r="P42" s="1"/>
      <c r="S42" s="1"/>
      <c r="T42" s="1"/>
      <c r="U42" s="1">
        <f>N42-5</f>
        <v>55</v>
      </c>
    </row>
    <row r="43" spans="1:21" ht="13.5" x14ac:dyDescent="0.25">
      <c r="A43" s="10"/>
      <c r="B43" s="2" t="s">
        <v>112</v>
      </c>
      <c r="C43" s="1">
        <v>2</v>
      </c>
      <c r="D43" s="1">
        <v>0</v>
      </c>
      <c r="E43" s="1" t="s">
        <v>113</v>
      </c>
      <c r="F43" s="20"/>
      <c r="G43" s="20"/>
      <c r="H43" s="34"/>
      <c r="I43" s="21"/>
      <c r="J43" s="32"/>
      <c r="K43" s="21"/>
      <c r="L43" s="21"/>
      <c r="M43" s="21"/>
      <c r="N43" s="1">
        <v>80</v>
      </c>
      <c r="O43" s="1"/>
      <c r="P43" s="1"/>
      <c r="Q43" s="1">
        <v>150</v>
      </c>
      <c r="R43" s="1">
        <v>150</v>
      </c>
      <c r="S43" s="1"/>
      <c r="T43" s="1"/>
      <c r="U43" s="1">
        <f>N43-5</f>
        <v>75</v>
      </c>
    </row>
    <row r="44" spans="1:21" ht="13.5" x14ac:dyDescent="0.25">
      <c r="A44" s="10"/>
      <c r="B44" s="2" t="s">
        <v>36</v>
      </c>
      <c r="C44" s="1">
        <v>60</v>
      </c>
      <c r="D44" s="1">
        <v>0</v>
      </c>
      <c r="E44" s="1"/>
      <c r="F44" s="20"/>
      <c r="G44" s="20" t="s">
        <v>24</v>
      </c>
      <c r="H44" s="34">
        <v>0.6</v>
      </c>
      <c r="I44" s="21"/>
      <c r="J44" s="32"/>
      <c r="K44" s="21"/>
      <c r="L44" s="21"/>
      <c r="M44" s="21"/>
      <c r="N44" s="1"/>
      <c r="O44" s="1"/>
      <c r="P44" s="1"/>
      <c r="S44" s="1"/>
      <c r="T44" s="1"/>
      <c r="U44" s="1"/>
    </row>
    <row r="45" spans="1:21" ht="13.5" x14ac:dyDescent="0.25">
      <c r="A45" s="10"/>
      <c r="B45" s="2" t="s">
        <v>38</v>
      </c>
      <c r="C45" s="1">
        <v>120</v>
      </c>
      <c r="D45" s="1">
        <v>0</v>
      </c>
      <c r="E45" s="1"/>
      <c r="F45" s="20"/>
      <c r="G45" s="20"/>
      <c r="H45" s="34"/>
      <c r="I45" s="21"/>
      <c r="J45" s="32"/>
      <c r="K45" s="21"/>
      <c r="L45" s="21"/>
      <c r="M45" s="21"/>
      <c r="N45" s="1"/>
      <c r="O45" s="1"/>
      <c r="P45" s="1"/>
      <c r="S45" s="1"/>
      <c r="T45" s="1"/>
      <c r="U45" s="1"/>
    </row>
    <row r="46" spans="1:21" ht="13.5" x14ac:dyDescent="0.25">
      <c r="A46" s="10"/>
      <c r="C46" s="1"/>
      <c r="D46" s="1"/>
      <c r="E46" s="1"/>
      <c r="F46" s="20"/>
      <c r="G46" s="20"/>
      <c r="H46" s="34"/>
      <c r="I46" s="21"/>
      <c r="J46" s="32"/>
      <c r="K46" s="21"/>
      <c r="L46" s="21"/>
      <c r="M46" s="21"/>
      <c r="N46" s="1"/>
      <c r="O46" s="1"/>
      <c r="P46" s="1"/>
      <c r="S46" s="1"/>
      <c r="T46" s="1"/>
      <c r="U46" s="1"/>
    </row>
    <row r="47" spans="1:21" ht="15.75" x14ac:dyDescent="0.25">
      <c r="A47" s="10" t="s">
        <v>21</v>
      </c>
      <c r="B47" s="11" t="s">
        <v>86</v>
      </c>
      <c r="C47" s="36"/>
      <c r="D47" s="1"/>
      <c r="E47" s="1"/>
      <c r="F47" s="20"/>
      <c r="G47" s="20"/>
      <c r="H47" s="34"/>
      <c r="I47" s="21"/>
      <c r="J47" s="32"/>
      <c r="K47" s="21"/>
      <c r="L47" s="21"/>
      <c r="M47" s="21"/>
      <c r="N47" s="1"/>
      <c r="O47" s="1"/>
      <c r="P47" s="1"/>
      <c r="S47" s="1"/>
      <c r="T47" s="1"/>
    </row>
    <row r="48" spans="1:21" ht="13.5" x14ac:dyDescent="0.25">
      <c r="A48" s="10"/>
      <c r="B48" s="2" t="s">
        <v>73</v>
      </c>
      <c r="C48" s="1">
        <v>2</v>
      </c>
      <c r="D48" s="1">
        <v>10</v>
      </c>
      <c r="E48" s="1" t="s">
        <v>51</v>
      </c>
      <c r="F48" s="23" t="s">
        <v>69</v>
      </c>
      <c r="G48" s="23" t="s">
        <v>24</v>
      </c>
      <c r="H48" s="35">
        <v>1.1000000000000001</v>
      </c>
      <c r="I48" s="21">
        <v>0.4</v>
      </c>
      <c r="J48" s="32"/>
      <c r="K48" s="24">
        <v>1.5</v>
      </c>
      <c r="L48" s="24"/>
      <c r="M48" s="24"/>
      <c r="N48" s="1"/>
      <c r="O48" s="1"/>
      <c r="P48" s="1"/>
      <c r="S48" s="1"/>
      <c r="T48" s="1" t="s">
        <v>14</v>
      </c>
    </row>
    <row r="49" spans="1:20" ht="13.5" x14ac:dyDescent="0.25">
      <c r="A49" s="10"/>
      <c r="B49" s="6" t="s">
        <v>74</v>
      </c>
      <c r="C49" s="1">
        <v>180</v>
      </c>
      <c r="D49" s="1">
        <v>10</v>
      </c>
      <c r="E49" s="1"/>
      <c r="F49" s="23"/>
      <c r="G49" s="23"/>
      <c r="H49" s="35"/>
      <c r="I49" s="21">
        <v>0.05</v>
      </c>
      <c r="J49" s="32"/>
      <c r="K49" s="24"/>
      <c r="L49" s="24"/>
      <c r="M49" s="24"/>
      <c r="N49" s="1"/>
      <c r="O49" s="1"/>
      <c r="P49" s="1"/>
      <c r="S49" s="1"/>
      <c r="T49" s="1"/>
    </row>
    <row r="50" spans="1:20" ht="13.5" x14ac:dyDescent="0.25">
      <c r="A50" s="10"/>
      <c r="B50" s="2" t="s">
        <v>75</v>
      </c>
      <c r="C50" s="1">
        <v>2</v>
      </c>
      <c r="D50" s="1">
        <v>10</v>
      </c>
      <c r="E50" s="1" t="s">
        <v>51</v>
      </c>
      <c r="F50" s="23"/>
      <c r="G50" s="23"/>
      <c r="H50" s="35"/>
      <c r="I50" s="24">
        <v>0.6</v>
      </c>
      <c r="J50" s="32"/>
      <c r="K50" s="24"/>
      <c r="L50" s="24"/>
      <c r="M50" s="24"/>
      <c r="N50" s="1"/>
      <c r="O50" s="1"/>
      <c r="P50" s="1"/>
      <c r="S50" s="1"/>
      <c r="T50" s="1"/>
    </row>
    <row r="51" spans="1:20" ht="12.75" customHeight="1" x14ac:dyDescent="0.25">
      <c r="A51" s="10"/>
      <c r="B51" s="6" t="s">
        <v>76</v>
      </c>
      <c r="C51" s="1">
        <v>180</v>
      </c>
      <c r="D51" s="1">
        <v>10</v>
      </c>
      <c r="E51" s="1"/>
      <c r="F51" s="23"/>
      <c r="G51" s="23"/>
      <c r="H51" s="35"/>
      <c r="I51" s="24">
        <v>0.05</v>
      </c>
      <c r="J51" s="32"/>
      <c r="K51" s="24"/>
      <c r="L51" s="24"/>
      <c r="M51" s="24"/>
      <c r="N51" s="1"/>
      <c r="O51" s="1"/>
      <c r="P51" s="1"/>
      <c r="S51" s="1"/>
      <c r="T51" s="1"/>
    </row>
    <row r="52" spans="1:20" ht="13.5" customHeight="1" x14ac:dyDescent="0.2">
      <c r="B52" s="2" t="s">
        <v>77</v>
      </c>
      <c r="C52" s="1">
        <v>2</v>
      </c>
      <c r="D52" s="1">
        <v>10</v>
      </c>
      <c r="E52" s="1" t="s">
        <v>51</v>
      </c>
      <c r="F52" s="23"/>
      <c r="G52" s="23"/>
      <c r="H52" s="35"/>
      <c r="I52" s="24">
        <v>0.8</v>
      </c>
      <c r="J52" s="32"/>
      <c r="K52" s="24"/>
      <c r="L52" s="24"/>
      <c r="M52" s="24"/>
      <c r="N52" s="1"/>
      <c r="O52" s="1"/>
      <c r="P52" s="1"/>
      <c r="S52" s="1"/>
      <c r="T52" s="1"/>
    </row>
    <row r="53" spans="1:20" ht="13.5" customHeight="1" x14ac:dyDescent="0.25">
      <c r="A53" s="10"/>
      <c r="B53" s="6" t="s">
        <v>76</v>
      </c>
      <c r="C53" s="1">
        <v>180</v>
      </c>
      <c r="D53" s="1">
        <v>10</v>
      </c>
      <c r="E53" s="1"/>
      <c r="F53" s="23"/>
      <c r="G53" s="23"/>
      <c r="H53" s="35"/>
      <c r="I53" s="24">
        <v>0.05</v>
      </c>
      <c r="J53" s="32"/>
      <c r="K53" s="24"/>
      <c r="L53" s="24"/>
      <c r="M53" s="24"/>
      <c r="N53" s="1"/>
      <c r="O53" s="1"/>
      <c r="P53" s="1"/>
      <c r="S53" s="1"/>
      <c r="T53" s="1"/>
    </row>
    <row r="54" spans="1:20" ht="13.5" customHeight="1" x14ac:dyDescent="0.25">
      <c r="A54" s="10"/>
      <c r="B54" s="2" t="s">
        <v>78</v>
      </c>
      <c r="C54" s="1">
        <v>2</v>
      </c>
      <c r="D54" s="1">
        <v>10</v>
      </c>
      <c r="E54" s="1" t="s">
        <v>51</v>
      </c>
      <c r="F54" s="23"/>
      <c r="G54" s="23"/>
      <c r="H54" s="35"/>
      <c r="I54" s="24">
        <v>1</v>
      </c>
      <c r="J54" s="32"/>
      <c r="K54" s="24"/>
      <c r="L54" s="24"/>
      <c r="M54" s="24"/>
      <c r="N54" s="1"/>
      <c r="O54" s="1"/>
      <c r="P54" s="1"/>
      <c r="S54" s="1"/>
      <c r="T54" s="1"/>
    </row>
    <row r="55" spans="1:20" ht="13.5" customHeight="1" x14ac:dyDescent="0.25">
      <c r="A55" s="10"/>
      <c r="B55" s="6" t="s">
        <v>76</v>
      </c>
      <c r="C55" s="1">
        <v>180</v>
      </c>
      <c r="D55" s="1">
        <v>10</v>
      </c>
      <c r="E55" s="1"/>
      <c r="F55" s="23"/>
      <c r="G55" s="23"/>
      <c r="H55" s="35"/>
      <c r="I55" s="24">
        <v>0.05</v>
      </c>
      <c r="J55" s="32"/>
      <c r="K55" s="24"/>
      <c r="L55" s="24"/>
      <c r="M55" s="24"/>
      <c r="N55" s="1"/>
      <c r="O55" s="1"/>
      <c r="P55" s="1"/>
      <c r="S55" s="1"/>
      <c r="T55" s="1"/>
    </row>
    <row r="56" spans="1:20" ht="13.5" customHeight="1" x14ac:dyDescent="0.2">
      <c r="B56" s="2" t="s">
        <v>79</v>
      </c>
      <c r="C56" s="1">
        <v>2</v>
      </c>
      <c r="D56" s="1">
        <v>10</v>
      </c>
      <c r="E56" s="1" t="s">
        <v>51</v>
      </c>
      <c r="F56" s="23"/>
      <c r="G56" s="23"/>
      <c r="H56" s="35"/>
      <c r="I56" s="24">
        <v>1.2</v>
      </c>
      <c r="J56" s="32"/>
      <c r="K56" s="24"/>
      <c r="L56" s="24"/>
      <c r="M56" s="24"/>
      <c r="N56" s="1"/>
      <c r="O56" s="1"/>
      <c r="P56" s="1"/>
      <c r="S56" s="1"/>
      <c r="T56" s="1"/>
    </row>
    <row r="57" spans="1:20" ht="13.5" customHeight="1" x14ac:dyDescent="0.25">
      <c r="A57" s="10"/>
      <c r="B57" s="2" t="s">
        <v>117</v>
      </c>
      <c r="C57" s="1"/>
      <c r="D57" s="1"/>
      <c r="E57" s="1"/>
      <c r="F57" s="23"/>
      <c r="G57" s="23"/>
      <c r="H57" s="35"/>
      <c r="I57" s="24"/>
      <c r="J57" s="32"/>
      <c r="K57" s="24"/>
      <c r="L57" s="24"/>
      <c r="M57" s="24"/>
      <c r="N57" s="1"/>
      <c r="O57" s="1"/>
      <c r="P57" s="1"/>
      <c r="S57" s="1"/>
      <c r="T57" s="1"/>
    </row>
    <row r="58" spans="1:20" ht="13.5" customHeight="1" x14ac:dyDescent="0.25">
      <c r="A58" s="10"/>
      <c r="B58" s="6" t="s">
        <v>53</v>
      </c>
      <c r="C58" s="1">
        <v>40</v>
      </c>
      <c r="D58" s="1">
        <v>0</v>
      </c>
      <c r="E58" s="1"/>
      <c r="F58" s="23" t="s">
        <v>68</v>
      </c>
      <c r="G58" s="23" t="s">
        <v>14</v>
      </c>
      <c r="H58" s="35">
        <v>1.1000000000000001</v>
      </c>
      <c r="I58" s="24">
        <v>0</v>
      </c>
      <c r="J58" s="32">
        <v>0</v>
      </c>
      <c r="K58" s="24">
        <v>1.5</v>
      </c>
      <c r="L58" s="24">
        <v>2</v>
      </c>
      <c r="M58" s="24">
        <v>2</v>
      </c>
      <c r="N58" s="1">
        <v>80</v>
      </c>
      <c r="O58" s="1">
        <v>100</v>
      </c>
      <c r="P58" s="1">
        <v>100</v>
      </c>
      <c r="Q58" s="1">
        <v>150</v>
      </c>
      <c r="R58" s="1">
        <v>150</v>
      </c>
      <c r="S58" s="1">
        <v>30</v>
      </c>
      <c r="T58" s="1" t="s">
        <v>24</v>
      </c>
    </row>
    <row r="59" spans="1:20" ht="13.5" customHeight="1" x14ac:dyDescent="0.25">
      <c r="A59" s="10"/>
      <c r="B59" s="6" t="s">
        <v>80</v>
      </c>
      <c r="C59" s="1">
        <v>180</v>
      </c>
      <c r="D59" s="1">
        <v>10</v>
      </c>
      <c r="E59" s="1"/>
      <c r="F59" s="23" t="s">
        <v>69</v>
      </c>
      <c r="G59" s="23" t="s">
        <v>24</v>
      </c>
      <c r="H59" s="35"/>
      <c r="I59" s="24">
        <v>0.05</v>
      </c>
      <c r="J59" s="32"/>
      <c r="K59" s="24"/>
      <c r="L59" s="24"/>
      <c r="M59" s="24"/>
      <c r="N59" s="1"/>
      <c r="O59" s="1"/>
      <c r="P59" s="1"/>
      <c r="S59" s="1"/>
      <c r="T59" s="1" t="s">
        <v>14</v>
      </c>
    </row>
    <row r="60" spans="1:20" ht="13.5" customHeight="1" x14ac:dyDescent="0.25">
      <c r="A60" s="10"/>
      <c r="B60" s="2" t="s">
        <v>81</v>
      </c>
      <c r="C60" s="1">
        <v>2</v>
      </c>
      <c r="D60" s="1">
        <v>10</v>
      </c>
      <c r="E60" s="1" t="s">
        <v>51</v>
      </c>
      <c r="F60" s="23"/>
      <c r="G60" s="23"/>
      <c r="H60" s="35"/>
      <c r="I60" s="24">
        <v>1.5</v>
      </c>
      <c r="J60" s="32"/>
      <c r="K60" s="24"/>
      <c r="L60" s="24"/>
      <c r="M60" s="24"/>
      <c r="N60" s="1"/>
      <c r="O60" s="1"/>
      <c r="P60" s="1"/>
      <c r="S60" s="1"/>
      <c r="T60" s="1"/>
    </row>
    <row r="61" spans="1:20" ht="13.5" customHeight="1" x14ac:dyDescent="0.2">
      <c r="B61" s="2" t="s">
        <v>118</v>
      </c>
      <c r="C61" s="1"/>
      <c r="D61" s="1"/>
      <c r="E61" s="1"/>
      <c r="F61" s="20"/>
      <c r="G61" s="20"/>
      <c r="H61" s="34"/>
      <c r="I61" s="21"/>
      <c r="J61" s="32"/>
      <c r="K61" s="21"/>
      <c r="L61" s="21"/>
      <c r="M61" s="21"/>
      <c r="N61" s="1"/>
      <c r="O61" s="1"/>
      <c r="P61" s="1"/>
      <c r="S61" s="1"/>
      <c r="T61" s="1"/>
    </row>
    <row r="62" spans="1:20" ht="13.5" customHeight="1" x14ac:dyDescent="0.25">
      <c r="A62" s="10"/>
      <c r="B62" s="2" t="s">
        <v>115</v>
      </c>
      <c r="C62" s="1"/>
      <c r="D62" s="1"/>
      <c r="E62" s="1"/>
      <c r="F62" s="23"/>
      <c r="G62" s="23"/>
      <c r="H62" s="35"/>
      <c r="I62" s="24"/>
      <c r="J62" s="32"/>
      <c r="K62" s="24"/>
      <c r="L62" s="24"/>
      <c r="M62" s="24"/>
      <c r="N62" s="1"/>
      <c r="O62" s="1"/>
      <c r="P62" s="1"/>
      <c r="S62" s="1"/>
      <c r="T62" s="1"/>
    </row>
    <row r="63" spans="1:20" ht="13.5" customHeight="1" x14ac:dyDescent="0.25">
      <c r="A63" s="10"/>
      <c r="B63" s="6" t="s">
        <v>54</v>
      </c>
      <c r="C63" s="1">
        <v>40</v>
      </c>
      <c r="D63" s="1">
        <v>0</v>
      </c>
      <c r="E63" s="1"/>
      <c r="F63" s="23" t="s">
        <v>68</v>
      </c>
      <c r="G63" s="23" t="s">
        <v>14</v>
      </c>
      <c r="H63" s="35">
        <v>1.1000000000000001</v>
      </c>
      <c r="I63" s="24">
        <v>0</v>
      </c>
      <c r="J63" s="32">
        <v>0</v>
      </c>
      <c r="K63" s="24">
        <v>1.5</v>
      </c>
      <c r="L63" s="24">
        <v>2</v>
      </c>
      <c r="M63" s="24">
        <v>2</v>
      </c>
      <c r="N63" s="1">
        <v>80</v>
      </c>
      <c r="O63" s="1">
        <v>32</v>
      </c>
      <c r="P63" s="1">
        <v>32</v>
      </c>
      <c r="Q63" s="1">
        <v>150</v>
      </c>
      <c r="R63" s="1">
        <v>150</v>
      </c>
      <c r="S63" s="1">
        <v>30</v>
      </c>
      <c r="T63" s="1" t="s">
        <v>24</v>
      </c>
    </row>
    <row r="64" spans="1:20" ht="13.5" customHeight="1" x14ac:dyDescent="0.25">
      <c r="A64" s="10"/>
      <c r="B64" s="6" t="s">
        <v>82</v>
      </c>
      <c r="C64" s="1">
        <v>180</v>
      </c>
      <c r="D64" s="1">
        <v>10</v>
      </c>
      <c r="E64" s="1"/>
      <c r="F64" s="23" t="s">
        <v>69</v>
      </c>
      <c r="G64" s="23" t="s">
        <v>24</v>
      </c>
      <c r="H64" s="35"/>
      <c r="I64" s="24">
        <v>0.05</v>
      </c>
      <c r="J64" s="32"/>
      <c r="K64" s="24"/>
      <c r="L64" s="24"/>
      <c r="M64" s="24"/>
      <c r="N64" s="1"/>
      <c r="O64" s="1"/>
      <c r="P64" s="1"/>
      <c r="S64" s="1"/>
      <c r="T64" s="1" t="s">
        <v>14</v>
      </c>
    </row>
    <row r="65" spans="1:20" ht="13.5" customHeight="1" x14ac:dyDescent="0.25">
      <c r="A65" s="10"/>
      <c r="B65" s="2" t="s">
        <v>83</v>
      </c>
      <c r="C65" s="1">
        <v>2</v>
      </c>
      <c r="D65" s="1">
        <v>10</v>
      </c>
      <c r="E65" s="1" t="s">
        <v>51</v>
      </c>
      <c r="F65" s="23"/>
      <c r="G65" s="23"/>
      <c r="H65" s="35"/>
      <c r="I65" s="24">
        <v>1.5</v>
      </c>
      <c r="J65" s="32"/>
      <c r="K65" s="24"/>
      <c r="L65" s="24"/>
      <c r="M65" s="24"/>
      <c r="N65" s="1"/>
      <c r="O65" s="1"/>
      <c r="P65" s="1"/>
      <c r="S65" s="1"/>
      <c r="T65" s="1"/>
    </row>
    <row r="66" spans="1:20" ht="13.5" customHeight="1" x14ac:dyDescent="0.2">
      <c r="B66" s="2" t="s">
        <v>119</v>
      </c>
      <c r="C66" s="1"/>
      <c r="D66" s="1"/>
      <c r="E66" s="1"/>
      <c r="F66" s="20"/>
      <c r="G66" s="20"/>
      <c r="H66" s="34"/>
      <c r="I66" s="21"/>
      <c r="J66" s="32"/>
      <c r="K66" s="21"/>
      <c r="L66" s="21"/>
      <c r="M66" s="21"/>
      <c r="N66" s="1"/>
      <c r="O66" s="1"/>
      <c r="P66" s="1"/>
      <c r="S66" s="1"/>
      <c r="T66" s="1"/>
    </row>
    <row r="67" spans="1:20" ht="13.5" customHeight="1" x14ac:dyDescent="0.25">
      <c r="A67" s="10"/>
      <c r="B67" s="2" t="s">
        <v>116</v>
      </c>
      <c r="C67" s="1"/>
      <c r="D67" s="1"/>
      <c r="E67" s="1"/>
      <c r="F67" s="23"/>
      <c r="G67" s="23"/>
      <c r="H67" s="35"/>
      <c r="I67" s="24"/>
      <c r="J67" s="32"/>
      <c r="K67" s="24"/>
      <c r="L67" s="24"/>
      <c r="M67" s="24"/>
      <c r="N67" s="1"/>
      <c r="O67" s="1"/>
      <c r="P67" s="1"/>
      <c r="S67" s="1"/>
      <c r="T67" s="1"/>
    </row>
    <row r="68" spans="1:20" ht="13.5" customHeight="1" x14ac:dyDescent="0.25">
      <c r="A68" s="10"/>
      <c r="B68" s="6" t="s">
        <v>53</v>
      </c>
      <c r="C68" s="1">
        <v>40</v>
      </c>
      <c r="D68" s="1">
        <v>0</v>
      </c>
      <c r="E68" s="1"/>
      <c r="F68" s="23" t="s">
        <v>68</v>
      </c>
      <c r="G68" s="23" t="s">
        <v>14</v>
      </c>
      <c r="H68" s="35">
        <v>1.1000000000000001</v>
      </c>
      <c r="I68" s="24">
        <v>0</v>
      </c>
      <c r="J68" s="32">
        <v>0</v>
      </c>
      <c r="K68" s="24">
        <v>1.5</v>
      </c>
      <c r="L68" s="24">
        <v>2</v>
      </c>
      <c r="M68" s="24">
        <v>2</v>
      </c>
      <c r="N68" s="1">
        <v>80</v>
      </c>
      <c r="O68" s="1">
        <v>100</v>
      </c>
      <c r="P68" s="1">
        <v>100</v>
      </c>
      <c r="Q68" s="1">
        <v>150</v>
      </c>
      <c r="R68" s="1">
        <v>150</v>
      </c>
      <c r="S68" s="1">
        <v>30</v>
      </c>
      <c r="T68" s="1" t="s">
        <v>24</v>
      </c>
    </row>
    <row r="69" spans="1:20" ht="13.5" customHeight="1" x14ac:dyDescent="0.25">
      <c r="A69" s="10"/>
      <c r="B69" s="6" t="s">
        <v>84</v>
      </c>
      <c r="C69" s="1">
        <v>180</v>
      </c>
      <c r="D69" s="1">
        <v>10</v>
      </c>
      <c r="E69" s="1"/>
      <c r="F69" s="23" t="s">
        <v>69</v>
      </c>
      <c r="G69" s="23" t="s">
        <v>24</v>
      </c>
      <c r="H69" s="35"/>
      <c r="I69" s="24">
        <v>0.05</v>
      </c>
      <c r="J69" s="32"/>
      <c r="K69" s="24"/>
      <c r="L69" s="24"/>
      <c r="M69" s="24"/>
      <c r="N69" s="1"/>
      <c r="O69" s="1"/>
      <c r="P69" s="1"/>
      <c r="S69" s="1"/>
      <c r="T69" s="1" t="s">
        <v>14</v>
      </c>
    </row>
    <row r="70" spans="1:20" ht="13.5" customHeight="1" x14ac:dyDescent="0.25">
      <c r="A70" s="10"/>
      <c r="B70" s="2" t="s">
        <v>81</v>
      </c>
      <c r="C70" s="1">
        <v>2</v>
      </c>
      <c r="D70" s="1">
        <v>10</v>
      </c>
      <c r="E70" s="1" t="s">
        <v>51</v>
      </c>
      <c r="F70" s="23"/>
      <c r="G70" s="23"/>
      <c r="H70" s="35"/>
      <c r="I70" s="24">
        <v>1.5</v>
      </c>
      <c r="J70" s="32"/>
      <c r="K70" s="24"/>
      <c r="L70" s="24"/>
      <c r="M70" s="24"/>
      <c r="N70" s="1"/>
      <c r="O70" s="1"/>
      <c r="P70" s="1"/>
      <c r="S70" s="1"/>
      <c r="T70" s="1"/>
    </row>
    <row r="71" spans="1:20" ht="13.5" customHeight="1" x14ac:dyDescent="0.2">
      <c r="B71" s="2" t="s">
        <v>120</v>
      </c>
      <c r="C71" s="1"/>
      <c r="D71" s="1"/>
      <c r="E71" s="1"/>
      <c r="F71" s="20"/>
      <c r="G71" s="20"/>
      <c r="H71" s="34"/>
      <c r="I71" s="21"/>
      <c r="J71" s="32"/>
      <c r="K71" s="21"/>
      <c r="L71" s="21"/>
      <c r="M71" s="21"/>
      <c r="N71" s="1"/>
      <c r="O71" s="1"/>
      <c r="P71" s="1"/>
      <c r="S71" s="1"/>
      <c r="T71" s="1"/>
    </row>
    <row r="72" spans="1:20" ht="13.5" customHeight="1" x14ac:dyDescent="0.2">
      <c r="B72" s="2" t="s">
        <v>109</v>
      </c>
      <c r="C72" s="1">
        <v>2</v>
      </c>
      <c r="D72" s="1"/>
      <c r="E72" s="1" t="s">
        <v>109</v>
      </c>
      <c r="F72" s="22"/>
      <c r="G72" s="20"/>
      <c r="H72" s="34"/>
      <c r="I72" s="21"/>
      <c r="J72" s="32"/>
      <c r="K72" s="21"/>
      <c r="L72" s="21"/>
      <c r="M72" s="21"/>
      <c r="N72" s="1"/>
      <c r="O72" s="1"/>
      <c r="P72" s="1"/>
      <c r="S72" s="1"/>
      <c r="T72" s="1"/>
    </row>
    <row r="73" spans="1:20" x14ac:dyDescent="0.2">
      <c r="F73" s="13"/>
      <c r="G73" s="13"/>
      <c r="H73" s="14"/>
      <c r="I73" s="14"/>
      <c r="J73" s="2"/>
      <c r="K73" s="2"/>
      <c r="L73" s="2"/>
      <c r="M73" s="2"/>
    </row>
    <row r="74" spans="1:20" x14ac:dyDescent="0.2">
      <c r="A74" s="4" t="s">
        <v>30</v>
      </c>
      <c r="B74" s="4" t="s">
        <v>31</v>
      </c>
      <c r="C74" s="2" t="s">
        <v>113</v>
      </c>
    </row>
    <row r="75" spans="1:20" x14ac:dyDescent="0.2">
      <c r="B75" s="2" t="s">
        <v>8</v>
      </c>
      <c r="C75" s="2" t="s">
        <v>32</v>
      </c>
    </row>
    <row r="76" spans="1:20" x14ac:dyDescent="0.2">
      <c r="B76" s="2" t="s">
        <v>45</v>
      </c>
      <c r="C76" s="2" t="s">
        <v>33</v>
      </c>
      <c r="D76" s="2" t="s">
        <v>62</v>
      </c>
    </row>
    <row r="77" spans="1:20" x14ac:dyDescent="0.2">
      <c r="B77" s="2" t="s">
        <v>17</v>
      </c>
      <c r="C77" s="2">
        <v>7200</v>
      </c>
      <c r="D77" s="2" t="s">
        <v>60</v>
      </c>
    </row>
    <row r="78" spans="1:20" x14ac:dyDescent="0.2">
      <c r="B78" s="2" t="s">
        <v>34</v>
      </c>
      <c r="C78" s="2" t="s">
        <v>35</v>
      </c>
      <c r="D78" s="2" t="s">
        <v>61</v>
      </c>
    </row>
    <row r="79" spans="1:20" x14ac:dyDescent="0.2">
      <c r="B79" s="7" t="s">
        <v>161</v>
      </c>
      <c r="C79" s="25" t="s">
        <v>175</v>
      </c>
    </row>
    <row r="80" spans="1:20" x14ac:dyDescent="0.2">
      <c r="B80" s="2" t="s">
        <v>34</v>
      </c>
      <c r="C80" s="2" t="s">
        <v>35</v>
      </c>
      <c r="D80" s="2" t="s">
        <v>61</v>
      </c>
    </row>
    <row r="81" spans="1:13" x14ac:dyDescent="0.2">
      <c r="B81" s="7" t="s">
        <v>162</v>
      </c>
      <c r="C81" s="25" t="s">
        <v>175</v>
      </c>
    </row>
    <row r="82" spans="1:13" x14ac:dyDescent="0.2">
      <c r="B82" s="2" t="s">
        <v>34</v>
      </c>
      <c r="C82" s="2" t="s">
        <v>35</v>
      </c>
      <c r="D82" s="2" t="s">
        <v>61</v>
      </c>
    </row>
    <row r="83" spans="1:13" x14ac:dyDescent="0.2">
      <c r="B83" s="7" t="s">
        <v>163</v>
      </c>
      <c r="C83" s="25" t="s">
        <v>175</v>
      </c>
    </row>
    <row r="84" spans="1:13" x14ac:dyDescent="0.2"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4" t="s">
        <v>30</v>
      </c>
      <c r="B85" s="4" t="s">
        <v>31</v>
      </c>
      <c r="C85" s="2" t="s">
        <v>51</v>
      </c>
      <c r="F85" s="13"/>
      <c r="G85" s="13"/>
      <c r="H85" s="14"/>
      <c r="I85" s="14"/>
      <c r="J85" s="2"/>
      <c r="K85" s="2"/>
      <c r="L85" s="14"/>
      <c r="M85" s="2"/>
    </row>
    <row r="86" spans="1:13" x14ac:dyDescent="0.2">
      <c r="B86" s="2" t="s">
        <v>8</v>
      </c>
      <c r="C86" s="2" t="s">
        <v>126</v>
      </c>
      <c r="F86" s="13"/>
      <c r="G86" s="13"/>
      <c r="H86" s="14"/>
      <c r="I86" s="14"/>
      <c r="J86" s="2"/>
      <c r="K86" s="2"/>
      <c r="L86" s="14"/>
      <c r="M86" s="2"/>
    </row>
    <row r="87" spans="1:13" x14ac:dyDescent="0.2">
      <c r="B87" s="2" t="s">
        <v>126</v>
      </c>
      <c r="C87" s="25" t="s">
        <v>127</v>
      </c>
      <c r="F87" s="13"/>
      <c r="G87" s="13"/>
      <c r="H87" s="14"/>
      <c r="I87" s="14"/>
      <c r="J87" s="2"/>
      <c r="K87" s="2"/>
      <c r="L87" s="14"/>
      <c r="M87" s="2"/>
    </row>
    <row r="88" spans="1:13" x14ac:dyDescent="0.2">
      <c r="B88" s="2" t="s">
        <v>128</v>
      </c>
      <c r="C88" s="2">
        <v>1</v>
      </c>
      <c r="F88" s="13"/>
      <c r="G88" s="13"/>
      <c r="H88" s="14"/>
      <c r="I88" s="14"/>
      <c r="J88" s="2"/>
      <c r="K88" s="2"/>
      <c r="L88" s="14"/>
      <c r="M88" s="2"/>
    </row>
    <row r="89" spans="1:13" x14ac:dyDescent="0.2">
      <c r="B89" s="2" t="s">
        <v>129</v>
      </c>
      <c r="C89" s="2">
        <v>48</v>
      </c>
      <c r="D89" s="2" t="s">
        <v>131</v>
      </c>
      <c r="F89" s="13"/>
      <c r="G89" s="13"/>
      <c r="H89" s="14"/>
      <c r="I89" s="14"/>
      <c r="J89" s="2"/>
      <c r="K89" s="2"/>
      <c r="L89" s="14"/>
      <c r="M89" s="2"/>
    </row>
    <row r="90" spans="1:13" x14ac:dyDescent="0.2">
      <c r="B90" s="2" t="s">
        <v>130</v>
      </c>
      <c r="C90" s="2">
        <v>1</v>
      </c>
      <c r="F90" s="13"/>
      <c r="G90" s="13"/>
      <c r="H90" s="14"/>
      <c r="I90" s="14"/>
      <c r="J90" s="2"/>
      <c r="K90" s="2"/>
      <c r="L90" s="14"/>
      <c r="M90" s="2"/>
    </row>
    <row r="91" spans="1:13" x14ac:dyDescent="0.2">
      <c r="B91" s="4"/>
      <c r="F91" s="13"/>
      <c r="G91" s="13"/>
      <c r="H91" s="14"/>
      <c r="I91" s="14"/>
      <c r="J91" s="2"/>
      <c r="K91" s="2"/>
      <c r="L91" s="14"/>
      <c r="M91" s="2"/>
    </row>
    <row r="92" spans="1:13" s="33" customFormat="1" x14ac:dyDescent="0.2">
      <c r="A92" s="45"/>
      <c r="B92" s="46" t="s">
        <v>8</v>
      </c>
      <c r="C92" s="47" t="s">
        <v>88</v>
      </c>
      <c r="D92" s="45"/>
    </row>
    <row r="93" spans="1:13" s="33" customFormat="1" x14ac:dyDescent="0.2">
      <c r="A93" s="45"/>
      <c r="B93" s="46" t="s">
        <v>45</v>
      </c>
      <c r="C93" s="47" t="s">
        <v>46</v>
      </c>
      <c r="D93" s="45"/>
    </row>
    <row r="94" spans="1:13" s="33" customFormat="1" x14ac:dyDescent="0.2">
      <c r="A94" s="45"/>
      <c r="B94" s="46" t="s">
        <v>17</v>
      </c>
      <c r="C94" s="48">
        <v>5</v>
      </c>
      <c r="D94" s="45"/>
    </row>
    <row r="95" spans="1:13" s="33" customFormat="1" x14ac:dyDescent="0.2">
      <c r="A95" s="45"/>
      <c r="B95" s="46"/>
      <c r="C95" s="48"/>
      <c r="D95" s="45"/>
    </row>
    <row r="96" spans="1:13" s="33" customFormat="1" x14ac:dyDescent="0.2">
      <c r="A96" s="45"/>
      <c r="B96" s="33" t="s">
        <v>89</v>
      </c>
      <c r="C96" s="27" t="s">
        <v>164</v>
      </c>
      <c r="D96" s="45"/>
    </row>
    <row r="97" spans="1:18" s="33" customFormat="1" x14ac:dyDescent="0.2">
      <c r="A97" s="45"/>
      <c r="B97" s="33" t="s">
        <v>41</v>
      </c>
      <c r="C97" s="49">
        <v>0.2</v>
      </c>
      <c r="D97" s="45" t="s">
        <v>90</v>
      </c>
    </row>
    <row r="98" spans="1:18" s="33" customFormat="1" x14ac:dyDescent="0.2">
      <c r="A98" s="45"/>
      <c r="D98" s="45"/>
    </row>
    <row r="99" spans="1:18" s="33" customFormat="1" x14ac:dyDescent="0.2">
      <c r="A99" s="45"/>
      <c r="B99" s="33" t="s">
        <v>89</v>
      </c>
      <c r="C99" s="27" t="s">
        <v>135</v>
      </c>
      <c r="D99" s="45"/>
    </row>
    <row r="100" spans="1:18" s="33" customFormat="1" x14ac:dyDescent="0.2">
      <c r="A100" s="45"/>
      <c r="B100" s="33" t="s">
        <v>42</v>
      </c>
      <c r="C100" s="27" t="s">
        <v>48</v>
      </c>
      <c r="D100" s="45"/>
    </row>
    <row r="101" spans="1:18" s="33" customFormat="1" x14ac:dyDescent="0.2">
      <c r="A101" s="45"/>
      <c r="D101" s="45"/>
    </row>
    <row r="102" spans="1:18" ht="13.5" x14ac:dyDescent="0.25">
      <c r="A102" s="10"/>
      <c r="B102" s="2" t="s">
        <v>91</v>
      </c>
    </row>
    <row r="103" spans="1:18" ht="13.5" x14ac:dyDescent="0.25">
      <c r="A103" s="10"/>
      <c r="B103" s="2" t="s">
        <v>135</v>
      </c>
      <c r="C103" s="25" t="s">
        <v>92</v>
      </c>
    </row>
    <row r="104" spans="1:18" ht="13.5" x14ac:dyDescent="0.25">
      <c r="A104" s="10"/>
      <c r="B104" s="15" t="s">
        <v>133</v>
      </c>
      <c r="C104" s="25" t="s">
        <v>90</v>
      </c>
    </row>
    <row r="105" spans="1:18" ht="13.5" x14ac:dyDescent="0.25">
      <c r="A105" s="10"/>
      <c r="B105" s="15" t="s">
        <v>136</v>
      </c>
      <c r="C105" s="44">
        <v>0.5</v>
      </c>
    </row>
    <row r="106" spans="1:18" ht="13.5" x14ac:dyDescent="0.25">
      <c r="A106" s="10"/>
      <c r="B106" s="15"/>
      <c r="C106" s="44"/>
    </row>
    <row r="107" spans="1:18" ht="13.5" x14ac:dyDescent="0.25">
      <c r="A107" s="10"/>
      <c r="B107" s="15" t="s">
        <v>8</v>
      </c>
      <c r="C107" s="44" t="s">
        <v>132</v>
      </c>
    </row>
    <row r="108" spans="1:18" ht="13.5" x14ac:dyDescent="0.25">
      <c r="A108" s="10"/>
      <c r="B108" s="15" t="s">
        <v>132</v>
      </c>
      <c r="C108" s="28" t="s">
        <v>127</v>
      </c>
    </row>
    <row r="110" spans="1:18" s="6" customFormat="1" x14ac:dyDescent="0.2">
      <c r="A110" s="5" t="s">
        <v>30</v>
      </c>
      <c r="B110" s="5" t="s">
        <v>31</v>
      </c>
      <c r="C110" s="93" t="s">
        <v>109</v>
      </c>
      <c r="Q110" s="22"/>
      <c r="R110" s="22"/>
    </row>
    <row r="111" spans="1:18" s="6" customFormat="1" x14ac:dyDescent="0.2">
      <c r="A111" s="5"/>
      <c r="B111" s="6" t="s">
        <v>8</v>
      </c>
      <c r="C111" s="6" t="s">
        <v>9</v>
      </c>
      <c r="Q111" s="22"/>
      <c r="R111" s="22"/>
    </row>
    <row r="112" spans="1:18" s="6" customFormat="1" x14ac:dyDescent="0.2">
      <c r="A112" s="5"/>
      <c r="B112" s="6" t="s">
        <v>17</v>
      </c>
      <c r="C112" s="6">
        <v>2</v>
      </c>
      <c r="Q112" s="22"/>
      <c r="R112" s="22"/>
    </row>
    <row r="113" spans="1:18" s="6" customFormat="1" x14ac:dyDescent="0.2">
      <c r="A113" s="5"/>
      <c r="B113" s="6" t="s">
        <v>72</v>
      </c>
      <c r="C113" s="6" t="s">
        <v>48</v>
      </c>
      <c r="Q113" s="22"/>
      <c r="R113" s="22"/>
    </row>
    <row r="114" spans="1:18" s="6" customFormat="1" x14ac:dyDescent="0.2">
      <c r="A114" s="5"/>
      <c r="B114" s="2" t="s">
        <v>193</v>
      </c>
      <c r="C114" s="6" t="s">
        <v>48</v>
      </c>
      <c r="Q114" s="22"/>
      <c r="R114" s="22"/>
    </row>
    <row r="115" spans="1:18" x14ac:dyDescent="0.2">
      <c r="B115" s="2" t="s">
        <v>201</v>
      </c>
      <c r="C115" s="25" t="s">
        <v>92</v>
      </c>
    </row>
    <row r="116" spans="1:18" x14ac:dyDescent="0.2">
      <c r="B116" s="2" t="s">
        <v>202</v>
      </c>
      <c r="C116" s="25" t="s">
        <v>92</v>
      </c>
      <c r="D116" s="3" t="s">
        <v>200</v>
      </c>
    </row>
    <row r="117" spans="1:18" x14ac:dyDescent="0.2">
      <c r="C117" s="25"/>
      <c r="D117" s="3"/>
    </row>
    <row r="118" spans="1:18" x14ac:dyDescent="0.2">
      <c r="A118" s="4" t="s">
        <v>6</v>
      </c>
    </row>
    <row r="119" spans="1:18" x14ac:dyDescent="0.2">
      <c r="B119" s="2" t="s">
        <v>8</v>
      </c>
      <c r="C119" s="2" t="s">
        <v>9</v>
      </c>
    </row>
    <row r="120" spans="1:18" x14ac:dyDescent="0.2">
      <c r="B120" s="2" t="s">
        <v>17</v>
      </c>
      <c r="C120" s="2">
        <v>2</v>
      </c>
    </row>
    <row r="121" spans="1:18" x14ac:dyDescent="0.2">
      <c r="B121" s="2" t="s">
        <v>214</v>
      </c>
      <c r="C121" s="25">
        <v>1</v>
      </c>
    </row>
    <row r="122" spans="1:18" x14ac:dyDescent="0.2">
      <c r="B122" s="2" t="s">
        <v>215</v>
      </c>
      <c r="C122" s="25">
        <v>1</v>
      </c>
    </row>
    <row r="123" spans="1:18" x14ac:dyDescent="0.2">
      <c r="B123" s="2" t="s">
        <v>216</v>
      </c>
      <c r="C123" s="25">
        <v>1</v>
      </c>
    </row>
    <row r="124" spans="1:18" x14ac:dyDescent="0.2">
      <c r="C124" s="25"/>
    </row>
    <row r="125" spans="1:18" x14ac:dyDescent="0.2">
      <c r="A125" s="4" t="s">
        <v>7</v>
      </c>
    </row>
  </sheetData>
  <phoneticPr fontId="0" type="noConversion"/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3107-CC69-4EAB-96EC-D9FCE3D3B47F}">
  <sheetPr codeName="Sheet18">
    <pageSetUpPr fitToPage="1"/>
  </sheetPr>
  <dimension ref="A1:W39"/>
  <sheetViews>
    <sheetView topLeftCell="A7" zoomScale="85" zoomScaleNormal="25" zoomScaleSheetLayoutView="70" workbookViewId="0">
      <selection activeCell="B29" sqref="B29"/>
    </sheetView>
  </sheetViews>
  <sheetFormatPr defaultRowHeight="12.75" x14ac:dyDescent="0.2"/>
  <cols>
    <col min="1" max="1" width="11.5703125" style="112" bestFit="1" customWidth="1"/>
    <col min="2" max="2" width="58.5703125" style="133" bestFit="1" customWidth="1"/>
    <col min="3" max="3" width="19.28515625" style="133" bestFit="1" customWidth="1"/>
    <col min="4" max="4" width="7.85546875" style="133" customWidth="1"/>
    <col min="5" max="5" width="18.42578125" style="133" bestFit="1" customWidth="1"/>
    <col min="6" max="6" width="8.42578125" style="125" bestFit="1" customWidth="1"/>
    <col min="7" max="7" width="8.7109375" style="125" bestFit="1" customWidth="1"/>
    <col min="8" max="8" width="8.5703125" style="125" bestFit="1" customWidth="1"/>
    <col min="9" max="9" width="9.28515625" style="125" bestFit="1" customWidth="1"/>
    <col min="10" max="10" width="9.85546875" style="125" bestFit="1" customWidth="1"/>
    <col min="11" max="12" width="8.140625" style="125" customWidth="1"/>
    <col min="13" max="13" width="6.42578125" style="133" bestFit="1" customWidth="1"/>
    <col min="14" max="14" width="9.5703125" style="133" customWidth="1"/>
    <col min="15" max="15" width="9.5703125" style="133" bestFit="1" customWidth="1"/>
    <col min="16" max="17" width="7.5703125" style="116" bestFit="1" customWidth="1"/>
    <col min="18" max="18" width="21.140625" style="133" customWidth="1"/>
    <col min="19" max="16384" width="9.140625" style="133"/>
  </cols>
  <sheetData>
    <row r="1" spans="1:17" s="112" customFormat="1" x14ac:dyDescent="0.2">
      <c r="A1" s="112" t="s">
        <v>3</v>
      </c>
      <c r="B1" s="112" t="s">
        <v>4</v>
      </c>
      <c r="C1" s="133"/>
      <c r="E1" s="133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</row>
    <row r="2" spans="1:17" x14ac:dyDescent="0.2">
      <c r="A2" s="112" t="s">
        <v>0</v>
      </c>
      <c r="B2" s="115" t="s">
        <v>1</v>
      </c>
      <c r="C2" s="115" t="s">
        <v>2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</row>
    <row r="3" spans="1:17" x14ac:dyDescent="0.2"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</row>
    <row r="4" spans="1:17" x14ac:dyDescent="0.2">
      <c r="A4" s="112" t="s">
        <v>5</v>
      </c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x14ac:dyDescent="0.2">
      <c r="B5" s="133" t="s">
        <v>8</v>
      </c>
      <c r="C5" s="133" t="s">
        <v>9</v>
      </c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7" x14ac:dyDescent="0.2">
      <c r="B6" s="133" t="s">
        <v>17</v>
      </c>
      <c r="C6" s="134">
        <v>2</v>
      </c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</row>
    <row r="7" spans="1:17" x14ac:dyDescent="0.2">
      <c r="B7" s="133" t="s">
        <v>166</v>
      </c>
      <c r="C7" s="134" t="s">
        <v>5</v>
      </c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</row>
    <row r="8" spans="1:17" x14ac:dyDescent="0.2"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</row>
    <row r="9" spans="1:17" x14ac:dyDescent="0.2">
      <c r="B9" s="133" t="s">
        <v>135</v>
      </c>
      <c r="C9" s="134" t="s">
        <v>14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</row>
    <row r="10" spans="1:17" x14ac:dyDescent="0.2">
      <c r="B10" s="133" t="s">
        <v>133</v>
      </c>
      <c r="C10" s="134" t="s">
        <v>68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</row>
    <row r="11" spans="1:17" x14ac:dyDescent="0.2">
      <c r="B11" s="133" t="s">
        <v>136</v>
      </c>
      <c r="C11" s="135">
        <v>1.1000000000000001</v>
      </c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</row>
    <row r="12" spans="1:17" x14ac:dyDescent="0.2">
      <c r="B12" s="133" t="s">
        <v>137</v>
      </c>
      <c r="C12" s="136">
        <v>0</v>
      </c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</row>
    <row r="13" spans="1:17" x14ac:dyDescent="0.2">
      <c r="C13" s="136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</row>
    <row r="14" spans="1:17" x14ac:dyDescent="0.2">
      <c r="B14" s="133" t="s">
        <v>151</v>
      </c>
      <c r="C14" s="134" t="s">
        <v>227</v>
      </c>
      <c r="D14" s="115" t="s">
        <v>220</v>
      </c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</row>
    <row r="15" spans="1:17" x14ac:dyDescent="0.2">
      <c r="B15" s="133" t="s">
        <v>167</v>
      </c>
      <c r="C15" s="134">
        <v>100</v>
      </c>
      <c r="D15" s="115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</row>
    <row r="16" spans="1:17" x14ac:dyDescent="0.2">
      <c r="B16" s="133" t="s">
        <v>139</v>
      </c>
      <c r="C16" s="134">
        <v>0</v>
      </c>
      <c r="D16" s="115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</row>
    <row r="17" spans="1:23" s="125" customFormat="1" x14ac:dyDescent="0.2">
      <c r="A17" s="137"/>
      <c r="B17" s="125" t="s">
        <v>138</v>
      </c>
      <c r="C17" s="138">
        <v>0</v>
      </c>
      <c r="E17" s="117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17"/>
    </row>
    <row r="18" spans="1:23" x14ac:dyDescent="0.2">
      <c r="C18" s="134"/>
      <c r="D18" s="115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</row>
    <row r="19" spans="1:23" x14ac:dyDescent="0.2">
      <c r="B19" s="139" t="s">
        <v>152</v>
      </c>
      <c r="C19" s="134" t="s">
        <v>24</v>
      </c>
      <c r="D19" s="115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</row>
    <row r="20" spans="1:23" x14ac:dyDescent="0.2">
      <c r="B20" s="139" t="s">
        <v>153</v>
      </c>
      <c r="C20" s="134" t="s">
        <v>92</v>
      </c>
      <c r="D20" s="161" t="s">
        <v>179</v>
      </c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</row>
    <row r="21" spans="1:23" s="154" customFormat="1" x14ac:dyDescent="0.2">
      <c r="A21" s="187"/>
      <c r="B21" s="160" t="s">
        <v>178</v>
      </c>
      <c r="C21" s="138" t="s">
        <v>92</v>
      </c>
      <c r="D21" s="161" t="s">
        <v>179</v>
      </c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W21" s="188"/>
    </row>
    <row r="22" spans="1:23" x14ac:dyDescent="0.2">
      <c r="B22" s="133" t="s">
        <v>154</v>
      </c>
      <c r="C22" s="134" t="s">
        <v>14</v>
      </c>
      <c r="D22" s="115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</row>
    <row r="23" spans="1:23" x14ac:dyDescent="0.2">
      <c r="B23" s="133" t="s">
        <v>155</v>
      </c>
      <c r="C23" s="134" t="s">
        <v>14</v>
      </c>
      <c r="D23" s="115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</row>
    <row r="24" spans="1:23" x14ac:dyDescent="0.2">
      <c r="C24" s="134"/>
      <c r="D24" s="115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</row>
    <row r="25" spans="1:23" x14ac:dyDescent="0.2">
      <c r="B25" s="133" t="s">
        <v>16</v>
      </c>
      <c r="C25" s="134" t="s">
        <v>24</v>
      </c>
      <c r="D25" s="115"/>
      <c r="E25" s="115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</row>
    <row r="26" spans="1:23" x14ac:dyDescent="0.2">
      <c r="B26" s="133" t="s">
        <v>25</v>
      </c>
      <c r="C26" s="134">
        <v>10</v>
      </c>
      <c r="D26" s="115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  <row r="27" spans="1:23" x14ac:dyDescent="0.2">
      <c r="C27" s="134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</row>
    <row r="28" spans="1:23" x14ac:dyDescent="0.2">
      <c r="B28" s="133" t="s">
        <v>241</v>
      </c>
      <c r="C28" s="135">
        <v>0</v>
      </c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</row>
    <row r="29" spans="1:23" x14ac:dyDescent="0.2">
      <c r="B29" s="133" t="s">
        <v>156</v>
      </c>
      <c r="C29" s="135" t="s">
        <v>24</v>
      </c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</row>
    <row r="30" spans="1:23" x14ac:dyDescent="0.2">
      <c r="B30" s="133" t="s">
        <v>157</v>
      </c>
      <c r="C30" s="135">
        <v>-0.05</v>
      </c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</row>
    <row r="31" spans="1:23" x14ac:dyDescent="0.2">
      <c r="B31" s="133" t="s">
        <v>158</v>
      </c>
      <c r="C31" s="134" t="s">
        <v>92</v>
      </c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</row>
    <row r="32" spans="1:23" x14ac:dyDescent="0.2">
      <c r="B32" s="13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</row>
    <row r="33" spans="1:18" s="119" customFormat="1" ht="56.25" customHeight="1" x14ac:dyDescent="0.2">
      <c r="A33" s="119" t="s">
        <v>15</v>
      </c>
      <c r="B33" s="119" t="s">
        <v>10</v>
      </c>
      <c r="C33" s="141" t="s">
        <v>11</v>
      </c>
      <c r="D33" s="118" t="s">
        <v>12</v>
      </c>
      <c r="E33" s="116" t="s">
        <v>27</v>
      </c>
      <c r="F33" s="142" t="s">
        <v>133</v>
      </c>
      <c r="G33" s="117" t="s">
        <v>135</v>
      </c>
      <c r="H33" s="142" t="s">
        <v>136</v>
      </c>
      <c r="I33" s="142" t="s">
        <v>137</v>
      </c>
      <c r="J33" s="142" t="s">
        <v>140</v>
      </c>
      <c r="K33" s="142" t="s">
        <v>141</v>
      </c>
      <c r="L33" s="142" t="s">
        <v>142</v>
      </c>
      <c r="M33" s="141" t="s">
        <v>143</v>
      </c>
      <c r="N33" s="141" t="s">
        <v>145</v>
      </c>
      <c r="O33" s="141" t="s">
        <v>146</v>
      </c>
      <c r="P33" s="141" t="s">
        <v>147</v>
      </c>
      <c r="Q33" s="141" t="s">
        <v>148</v>
      </c>
      <c r="R33" s="112"/>
    </row>
    <row r="34" spans="1:18" ht="13.5" x14ac:dyDescent="0.25">
      <c r="A34" s="144" t="s">
        <v>21</v>
      </c>
      <c r="B34" s="189" t="s">
        <v>344</v>
      </c>
      <c r="C34" s="116"/>
      <c r="D34" s="116"/>
      <c r="E34" s="116"/>
      <c r="F34" s="186"/>
      <c r="G34" s="186"/>
      <c r="H34" s="318"/>
      <c r="I34" s="190"/>
      <c r="J34" s="190"/>
      <c r="K34" s="190"/>
      <c r="L34" s="190"/>
      <c r="M34" s="116"/>
      <c r="N34" s="116"/>
      <c r="O34" s="116"/>
    </row>
    <row r="35" spans="1:18" ht="13.5" x14ac:dyDescent="0.25">
      <c r="A35" s="144"/>
      <c r="B35" s="133" t="s">
        <v>345</v>
      </c>
      <c r="C35" s="116">
        <v>300</v>
      </c>
      <c r="D35" s="116">
        <f>IF(A35="//","0",0)</f>
        <v>0</v>
      </c>
      <c r="E35" s="116"/>
      <c r="F35" s="117" t="s">
        <v>68</v>
      </c>
      <c r="G35" s="186" t="s">
        <v>24</v>
      </c>
      <c r="H35" s="318">
        <v>0.85</v>
      </c>
      <c r="I35" s="190">
        <v>0</v>
      </c>
      <c r="J35" s="190">
        <v>1.5</v>
      </c>
      <c r="K35" s="190">
        <v>4.5</v>
      </c>
      <c r="L35" s="190">
        <v>2</v>
      </c>
      <c r="M35" s="116">
        <v>40</v>
      </c>
      <c r="N35" s="116">
        <v>150</v>
      </c>
      <c r="O35" s="116">
        <v>150</v>
      </c>
      <c r="P35" s="116">
        <v>150</v>
      </c>
      <c r="Q35" s="116">
        <v>150</v>
      </c>
      <c r="R35" s="356"/>
    </row>
    <row r="36" spans="1:18" ht="13.5" x14ac:dyDescent="0.25">
      <c r="A36" s="144"/>
      <c r="B36" s="133" t="s">
        <v>346</v>
      </c>
      <c r="C36" s="116">
        <v>600</v>
      </c>
      <c r="D36" s="116">
        <f>IF(A36="//","0",0)</f>
        <v>0</v>
      </c>
      <c r="E36" s="116"/>
      <c r="F36" s="117" t="s">
        <v>68</v>
      </c>
      <c r="G36" s="186" t="s">
        <v>24</v>
      </c>
      <c r="H36" s="318">
        <v>0.6</v>
      </c>
      <c r="I36" s="190">
        <v>0</v>
      </c>
      <c r="J36" s="190">
        <v>0.6</v>
      </c>
      <c r="K36" s="190">
        <v>4.5</v>
      </c>
      <c r="L36" s="190">
        <v>1.01</v>
      </c>
      <c r="M36" s="116">
        <v>40</v>
      </c>
      <c r="N36" s="116">
        <v>150</v>
      </c>
      <c r="O36" s="116">
        <v>150</v>
      </c>
      <c r="P36" s="116">
        <v>150</v>
      </c>
      <c r="Q36" s="116">
        <v>150</v>
      </c>
      <c r="R36" s="356"/>
    </row>
    <row r="37" spans="1:18" ht="13.5" x14ac:dyDescent="0.25">
      <c r="A37" s="144"/>
      <c r="B37" s="133" t="s">
        <v>347</v>
      </c>
      <c r="C37" s="116">
        <v>3600</v>
      </c>
      <c r="D37" s="116">
        <f>IF(A37="//","0",0)</f>
        <v>0</v>
      </c>
      <c r="E37" s="116"/>
      <c r="F37" s="117" t="s">
        <v>68</v>
      </c>
      <c r="G37" s="186" t="s">
        <v>24</v>
      </c>
      <c r="H37" s="318">
        <v>0.1</v>
      </c>
      <c r="I37" s="190">
        <v>0</v>
      </c>
      <c r="J37" s="190">
        <v>0.6</v>
      </c>
      <c r="K37" s="190">
        <v>4.5</v>
      </c>
      <c r="L37" s="190">
        <v>1.01</v>
      </c>
      <c r="M37" s="116">
        <v>40</v>
      </c>
      <c r="N37" s="116">
        <v>150</v>
      </c>
      <c r="O37" s="116">
        <v>150</v>
      </c>
      <c r="P37" s="116">
        <v>150</v>
      </c>
      <c r="Q37" s="116">
        <v>150</v>
      </c>
      <c r="R37" s="356"/>
    </row>
    <row r="38" spans="1:18" ht="13.5" x14ac:dyDescent="0.25">
      <c r="A38" s="144"/>
      <c r="C38" s="116"/>
      <c r="D38" s="116"/>
      <c r="E38" s="116"/>
      <c r="F38" s="117"/>
      <c r="G38" s="186"/>
      <c r="H38" s="318"/>
      <c r="I38" s="190"/>
      <c r="J38" s="190"/>
      <c r="K38" s="190"/>
      <c r="L38" s="190"/>
      <c r="M38" s="116"/>
      <c r="N38" s="116"/>
      <c r="O38" s="116"/>
      <c r="R38" s="356"/>
    </row>
    <row r="39" spans="1:18" x14ac:dyDescent="0.2">
      <c r="A39" s="112" t="s">
        <v>7</v>
      </c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AB03-2254-492B-A532-2F8867FA1401}">
  <sheetPr codeName="Sheet14">
    <pageSetUpPr fitToPage="1"/>
  </sheetPr>
  <dimension ref="A1:AB120"/>
  <sheetViews>
    <sheetView topLeftCell="A22" zoomScale="85" zoomScaleNormal="25" zoomScaleSheetLayoutView="70" workbookViewId="0">
      <selection activeCell="A41" sqref="A41"/>
    </sheetView>
  </sheetViews>
  <sheetFormatPr defaultRowHeight="12.75" x14ac:dyDescent="0.2"/>
  <cols>
    <col min="1" max="1" width="11.5703125" style="4" bestFit="1" customWidth="1"/>
    <col min="2" max="2" width="65.7109375" style="2" customWidth="1"/>
    <col min="3" max="3" width="20.140625" style="2" customWidth="1"/>
    <col min="4" max="4" width="7.85546875" style="2" customWidth="1"/>
    <col min="5" max="5" width="18.42578125" style="2" bestFit="1" customWidth="1"/>
    <col min="6" max="6" width="8.42578125" style="6" bestFit="1" customWidth="1"/>
    <col min="7" max="7" width="8.7109375" style="6" bestFit="1" customWidth="1"/>
    <col min="8" max="8" width="8.5703125" style="6" bestFit="1" customWidth="1"/>
    <col min="9" max="9" width="9.28515625" style="6" bestFit="1" customWidth="1"/>
    <col min="10" max="10" width="7.5703125" style="6" bestFit="1" customWidth="1"/>
    <col min="11" max="11" width="9.85546875" style="6" bestFit="1" customWidth="1"/>
    <col min="12" max="13" width="8.140625" style="6" customWidth="1"/>
    <col min="14" max="14" width="6.42578125" style="2" bestFit="1" customWidth="1"/>
    <col min="15" max="15" width="9.5703125" style="2" customWidth="1"/>
    <col min="16" max="16" width="9.5703125" style="2" bestFit="1" customWidth="1"/>
    <col min="17" max="18" width="7.5703125" style="1" bestFit="1" customWidth="1"/>
    <col min="19" max="19" width="11.28515625" style="2" customWidth="1"/>
    <col min="20" max="20" width="8.42578125" style="2" customWidth="1"/>
    <col min="21" max="21" width="10.28515625" style="2" customWidth="1"/>
    <col min="22" max="16384" width="9.140625" style="2"/>
  </cols>
  <sheetData>
    <row r="1" spans="1:21" s="4" customFormat="1" x14ac:dyDescent="0.2">
      <c r="A1" s="4" t="s">
        <v>3</v>
      </c>
      <c r="B1" s="4" t="s">
        <v>4</v>
      </c>
      <c r="C1" s="2"/>
      <c r="E1" s="2"/>
      <c r="F1" s="6"/>
      <c r="G1" s="6"/>
      <c r="H1" s="6"/>
      <c r="I1" s="6"/>
      <c r="J1" s="6"/>
      <c r="K1" s="6"/>
      <c r="L1" s="6"/>
      <c r="M1" s="6"/>
      <c r="N1" s="2"/>
      <c r="O1" s="2"/>
      <c r="P1" s="2"/>
      <c r="Q1" s="1"/>
      <c r="R1" s="1"/>
      <c r="S1" s="2"/>
      <c r="T1" s="2"/>
      <c r="U1" s="2"/>
    </row>
    <row r="2" spans="1:21" x14ac:dyDescent="0.2">
      <c r="A2" s="4" t="s">
        <v>0</v>
      </c>
      <c r="B2" s="3" t="s">
        <v>1</v>
      </c>
      <c r="C2" s="3" t="s">
        <v>2</v>
      </c>
    </row>
    <row r="4" spans="1:21" x14ac:dyDescent="0.2">
      <c r="A4" s="4" t="s">
        <v>5</v>
      </c>
    </row>
    <row r="5" spans="1:21" x14ac:dyDescent="0.2">
      <c r="B5" s="2" t="s">
        <v>8</v>
      </c>
      <c r="C5" s="2" t="s">
        <v>9</v>
      </c>
    </row>
    <row r="6" spans="1:21" x14ac:dyDescent="0.2">
      <c r="B6" s="2" t="s">
        <v>17</v>
      </c>
      <c r="C6" s="25">
        <v>2</v>
      </c>
    </row>
    <row r="7" spans="1:21" x14ac:dyDescent="0.2">
      <c r="B7" s="2" t="s">
        <v>166</v>
      </c>
      <c r="C7" s="25" t="s">
        <v>5</v>
      </c>
    </row>
    <row r="8" spans="1:21" x14ac:dyDescent="0.2">
      <c r="B8" s="2" t="s">
        <v>193</v>
      </c>
      <c r="C8" s="25" t="s">
        <v>92</v>
      </c>
    </row>
    <row r="9" spans="1:21" x14ac:dyDescent="0.2">
      <c r="B9" s="2" t="s">
        <v>135</v>
      </c>
      <c r="C9" s="25" t="s">
        <v>14</v>
      </c>
    </row>
    <row r="10" spans="1:21" x14ac:dyDescent="0.2">
      <c r="B10" s="2" t="s">
        <v>133</v>
      </c>
      <c r="C10" s="25" t="s">
        <v>68</v>
      </c>
    </row>
    <row r="11" spans="1:21" x14ac:dyDescent="0.2">
      <c r="B11" s="2" t="s">
        <v>136</v>
      </c>
      <c r="C11" s="28">
        <v>1.1000000000000001</v>
      </c>
    </row>
    <row r="12" spans="1:21" x14ac:dyDescent="0.2">
      <c r="B12" s="2" t="s">
        <v>137</v>
      </c>
      <c r="C12" s="94">
        <v>0</v>
      </c>
    </row>
    <row r="13" spans="1:21" x14ac:dyDescent="0.2">
      <c r="C13" s="28"/>
    </row>
    <row r="14" spans="1:21" x14ac:dyDescent="0.2">
      <c r="B14" s="2" t="s">
        <v>167</v>
      </c>
      <c r="C14" s="108">
        <v>100</v>
      </c>
    </row>
    <row r="15" spans="1:21" s="6" customFormat="1" x14ac:dyDescent="0.2">
      <c r="A15" s="5"/>
      <c r="B15" s="6" t="s">
        <v>139</v>
      </c>
      <c r="C15" s="27">
        <v>100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21" s="6" customFormat="1" x14ac:dyDescent="0.2">
      <c r="A16" s="5"/>
      <c r="B16" s="6" t="s">
        <v>138</v>
      </c>
      <c r="C16" s="27">
        <v>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28" x14ac:dyDescent="0.2">
      <c r="B17" s="2" t="s">
        <v>151</v>
      </c>
      <c r="C17" s="25" t="s">
        <v>169</v>
      </c>
      <c r="D17" s="3" t="s">
        <v>19</v>
      </c>
      <c r="F17" s="2"/>
      <c r="G17" s="2"/>
      <c r="H17" s="2"/>
      <c r="I17" s="2"/>
      <c r="J17" s="2"/>
      <c r="K17" s="2"/>
      <c r="L17" s="2"/>
      <c r="M17" s="2"/>
    </row>
    <row r="18" spans="1:28" x14ac:dyDescent="0.2">
      <c r="C18" s="25"/>
      <c r="D18" s="3"/>
      <c r="F18" s="2"/>
      <c r="G18" s="2"/>
      <c r="H18" s="2"/>
      <c r="I18" s="2"/>
      <c r="J18" s="2"/>
      <c r="K18" s="2"/>
      <c r="L18" s="2"/>
      <c r="M18" s="2"/>
    </row>
    <row r="19" spans="1:28" x14ac:dyDescent="0.2">
      <c r="B19" s="8" t="s">
        <v>152</v>
      </c>
      <c r="C19" s="25" t="s">
        <v>24</v>
      </c>
      <c r="D19" s="3"/>
    </row>
    <row r="20" spans="1:28" x14ac:dyDescent="0.2">
      <c r="B20" s="8" t="s">
        <v>153</v>
      </c>
      <c r="C20" s="25" t="s">
        <v>92</v>
      </c>
      <c r="D20" s="26" t="s">
        <v>39</v>
      </c>
    </row>
    <row r="21" spans="1:28" s="33" customFormat="1" x14ac:dyDescent="0.2">
      <c r="A21" s="109"/>
      <c r="B21" s="47" t="s">
        <v>178</v>
      </c>
      <c r="C21" s="27" t="s">
        <v>92</v>
      </c>
      <c r="D21" s="110" t="s">
        <v>179</v>
      </c>
      <c r="Q21" s="111"/>
      <c r="R21" s="111"/>
      <c r="S21" s="111"/>
      <c r="T21" s="111"/>
      <c r="AB21" s="111"/>
    </row>
    <row r="22" spans="1:28" x14ac:dyDescent="0.2">
      <c r="B22" s="2" t="s">
        <v>154</v>
      </c>
      <c r="C22" s="25" t="s">
        <v>14</v>
      </c>
      <c r="D22" s="3"/>
    </row>
    <row r="23" spans="1:28" x14ac:dyDescent="0.2">
      <c r="B23" s="2" t="s">
        <v>155</v>
      </c>
      <c r="C23" s="25" t="s">
        <v>14</v>
      </c>
      <c r="D23" s="3"/>
    </row>
    <row r="24" spans="1:28" x14ac:dyDescent="0.2">
      <c r="C24" s="25"/>
      <c r="D24" s="3"/>
    </row>
    <row r="25" spans="1:28" x14ac:dyDescent="0.2">
      <c r="B25" s="2" t="s">
        <v>16</v>
      </c>
      <c r="C25" s="25" t="s">
        <v>24</v>
      </c>
      <c r="D25" s="3"/>
      <c r="E25" s="3"/>
    </row>
    <row r="26" spans="1:28" x14ac:dyDescent="0.2">
      <c r="B26" s="2" t="s">
        <v>25</v>
      </c>
      <c r="C26" s="25">
        <v>30</v>
      </c>
      <c r="D26" s="3"/>
    </row>
    <row r="27" spans="1:28" x14ac:dyDescent="0.2">
      <c r="A27" s="2"/>
      <c r="B27" s="2" t="s">
        <v>195</v>
      </c>
      <c r="C27" s="25">
        <v>30</v>
      </c>
      <c r="D27" s="3"/>
      <c r="Q27" s="2"/>
      <c r="R27" s="2"/>
    </row>
    <row r="28" spans="1:28" x14ac:dyDescent="0.2">
      <c r="A28" s="2"/>
      <c r="B28" s="2" t="s">
        <v>190</v>
      </c>
      <c r="C28" s="25">
        <v>1</v>
      </c>
      <c r="D28" s="3"/>
      <c r="Q28" s="2"/>
      <c r="R28" s="2"/>
    </row>
    <row r="29" spans="1:28" x14ac:dyDescent="0.2">
      <c r="C29" s="25"/>
    </row>
    <row r="30" spans="1:28" x14ac:dyDescent="0.2">
      <c r="B30" s="2" t="s">
        <v>156</v>
      </c>
      <c r="C30" s="28" t="s">
        <v>92</v>
      </c>
      <c r="F30" s="2"/>
      <c r="G30" s="2"/>
      <c r="H30" s="2"/>
      <c r="I30" s="2"/>
      <c r="J30" s="2"/>
      <c r="K30" s="2"/>
      <c r="L30" s="2"/>
      <c r="M30" s="2"/>
    </row>
    <row r="31" spans="1:28" x14ac:dyDescent="0.2">
      <c r="B31" s="2" t="s">
        <v>157</v>
      </c>
      <c r="C31" s="28">
        <v>0.2</v>
      </c>
      <c r="F31" s="2"/>
      <c r="G31" s="2"/>
      <c r="H31" s="2"/>
      <c r="I31" s="2"/>
      <c r="J31" s="2"/>
      <c r="K31" s="2"/>
      <c r="L31" s="2"/>
      <c r="M31" s="2"/>
    </row>
    <row r="32" spans="1:28" x14ac:dyDescent="0.2">
      <c r="B32" s="2" t="s">
        <v>158</v>
      </c>
      <c r="C32" s="25" t="s">
        <v>48</v>
      </c>
    </row>
    <row r="33" spans="1:22" x14ac:dyDescent="0.2">
      <c r="B33" s="8"/>
      <c r="C33" s="25"/>
      <c r="Q33" s="2"/>
      <c r="S33" s="1"/>
      <c r="T33" s="1"/>
    </row>
    <row r="34" spans="1:22" s="9" customFormat="1" ht="51" x14ac:dyDescent="0.2">
      <c r="A34" s="9" t="s">
        <v>15</v>
      </c>
      <c r="B34" s="9" t="s">
        <v>10</v>
      </c>
      <c r="C34" s="30" t="s">
        <v>11</v>
      </c>
      <c r="D34" s="17" t="s">
        <v>12</v>
      </c>
      <c r="E34" s="1" t="s">
        <v>27</v>
      </c>
      <c r="F34" s="29" t="s">
        <v>133</v>
      </c>
      <c r="G34" s="22" t="s">
        <v>135</v>
      </c>
      <c r="H34" s="29" t="s">
        <v>136</v>
      </c>
      <c r="I34" s="29" t="s">
        <v>137</v>
      </c>
      <c r="J34" s="29" t="s">
        <v>139</v>
      </c>
      <c r="K34" s="29" t="s">
        <v>140</v>
      </c>
      <c r="L34" s="29" t="s">
        <v>141</v>
      </c>
      <c r="M34" s="29" t="s">
        <v>142</v>
      </c>
      <c r="N34" s="30" t="s">
        <v>143</v>
      </c>
      <c r="O34" s="30" t="s">
        <v>145</v>
      </c>
      <c r="P34" s="30" t="s">
        <v>146</v>
      </c>
      <c r="Q34" s="30" t="s">
        <v>147</v>
      </c>
      <c r="R34" s="30" t="s">
        <v>148</v>
      </c>
      <c r="S34" s="30" t="s">
        <v>25</v>
      </c>
      <c r="T34" s="30" t="s">
        <v>195</v>
      </c>
      <c r="U34" s="30" t="s">
        <v>156</v>
      </c>
      <c r="V34" s="30" t="s">
        <v>352</v>
      </c>
    </row>
    <row r="35" spans="1:22" s="12" customFormat="1" ht="26.25" x14ac:dyDescent="0.25">
      <c r="A35" s="10" t="s">
        <v>21</v>
      </c>
      <c r="B35" s="37" t="s">
        <v>87</v>
      </c>
      <c r="C35" s="18" t="s">
        <v>13</v>
      </c>
      <c r="D35" s="18" t="s">
        <v>13</v>
      </c>
      <c r="E35" s="18" t="s">
        <v>28</v>
      </c>
      <c r="F35" s="19" t="s">
        <v>85</v>
      </c>
      <c r="G35" s="19" t="s">
        <v>26</v>
      </c>
      <c r="H35" s="19" t="s">
        <v>18</v>
      </c>
      <c r="I35" s="19" t="s">
        <v>20</v>
      </c>
      <c r="J35" s="19"/>
      <c r="K35" s="19" t="s">
        <v>37</v>
      </c>
      <c r="L35" s="19"/>
      <c r="M35" s="19"/>
      <c r="N35" s="18" t="s">
        <v>59</v>
      </c>
      <c r="O35" s="18" t="s">
        <v>22</v>
      </c>
      <c r="P35" s="18" t="s">
        <v>22</v>
      </c>
      <c r="Q35" s="18" t="s">
        <v>23</v>
      </c>
      <c r="R35" s="18" t="s">
        <v>23</v>
      </c>
      <c r="S35" s="18"/>
      <c r="T35" s="18"/>
      <c r="U35" s="18" t="s">
        <v>43</v>
      </c>
    </row>
    <row r="36" spans="1:22" ht="14.25" x14ac:dyDescent="0.25">
      <c r="A36" s="10"/>
      <c r="B36" s="43" t="s">
        <v>123</v>
      </c>
      <c r="C36" s="38">
        <v>600</v>
      </c>
      <c r="D36" s="38">
        <v>0</v>
      </c>
      <c r="E36" s="43"/>
      <c r="F36" s="38" t="s">
        <v>90</v>
      </c>
      <c r="G36" s="39" t="s">
        <v>24</v>
      </c>
      <c r="H36" s="40">
        <v>0.7</v>
      </c>
      <c r="I36" s="41">
        <v>0.6</v>
      </c>
      <c r="J36" s="42">
        <v>0</v>
      </c>
      <c r="K36" s="41">
        <v>0.6</v>
      </c>
      <c r="L36" s="41">
        <v>2</v>
      </c>
      <c r="M36" s="41">
        <v>2</v>
      </c>
      <c r="N36" s="38">
        <v>80</v>
      </c>
      <c r="O36" s="38">
        <v>100</v>
      </c>
      <c r="P36" s="38">
        <v>100</v>
      </c>
      <c r="Q36" s="38">
        <v>150</v>
      </c>
      <c r="R36" s="38">
        <v>150</v>
      </c>
      <c r="S36" s="38">
        <v>30</v>
      </c>
      <c r="T36" s="38">
        <v>30</v>
      </c>
      <c r="U36" s="38" t="s">
        <v>14</v>
      </c>
      <c r="V36" s="2" t="s">
        <v>92</v>
      </c>
    </row>
    <row r="37" spans="1:22" ht="13.5" x14ac:dyDescent="0.25">
      <c r="A37" s="10"/>
      <c r="B37" s="43" t="s">
        <v>124</v>
      </c>
      <c r="C37" s="38">
        <v>2</v>
      </c>
      <c r="D37" s="38">
        <v>0</v>
      </c>
      <c r="E37" s="95" t="s">
        <v>122</v>
      </c>
      <c r="F37" s="38" t="s">
        <v>90</v>
      </c>
      <c r="G37" s="39" t="s">
        <v>14</v>
      </c>
      <c r="H37" s="40">
        <v>1.1000000000000001</v>
      </c>
      <c r="I37" s="41">
        <v>0.6</v>
      </c>
      <c r="J37" s="42">
        <v>0</v>
      </c>
      <c r="K37" s="41">
        <v>0.6</v>
      </c>
      <c r="L37" s="41">
        <v>2</v>
      </c>
      <c r="M37" s="41">
        <v>0</v>
      </c>
      <c r="N37" s="38">
        <v>80</v>
      </c>
      <c r="O37" s="38">
        <v>100</v>
      </c>
      <c r="P37" s="38">
        <v>100</v>
      </c>
      <c r="Q37" s="38">
        <v>150</v>
      </c>
      <c r="R37" s="38">
        <v>150</v>
      </c>
      <c r="S37" s="38">
        <v>5</v>
      </c>
      <c r="T37" s="38">
        <v>5</v>
      </c>
      <c r="U37" s="38"/>
      <c r="V37" s="2" t="s">
        <v>48</v>
      </c>
    </row>
    <row r="38" spans="1:22" ht="14.25" x14ac:dyDescent="0.25">
      <c r="A38" s="10"/>
      <c r="B38" s="43" t="s">
        <v>52</v>
      </c>
      <c r="C38" s="38">
        <v>200</v>
      </c>
      <c r="D38" s="38">
        <v>0</v>
      </c>
      <c r="E38" s="55" t="s">
        <v>104</v>
      </c>
      <c r="F38" s="38" t="s">
        <v>90</v>
      </c>
      <c r="G38" s="39" t="s">
        <v>24</v>
      </c>
      <c r="H38" s="40">
        <v>0.8</v>
      </c>
      <c r="I38" s="41">
        <v>0.4</v>
      </c>
      <c r="J38" s="42">
        <v>100</v>
      </c>
      <c r="K38" s="41">
        <v>0.4</v>
      </c>
      <c r="L38" s="41">
        <v>2</v>
      </c>
      <c r="M38" s="41">
        <v>9.5</v>
      </c>
      <c r="N38" s="38">
        <v>80</v>
      </c>
      <c r="O38" s="38">
        <v>100</v>
      </c>
      <c r="P38" s="38">
        <v>100</v>
      </c>
      <c r="Q38" s="38">
        <v>150</v>
      </c>
      <c r="R38" s="38">
        <v>150</v>
      </c>
      <c r="S38" s="38">
        <v>10</v>
      </c>
      <c r="T38" s="38">
        <v>10</v>
      </c>
      <c r="U38" s="38"/>
    </row>
    <row r="39" spans="1:22" ht="13.5" x14ac:dyDescent="0.25">
      <c r="A39" s="10"/>
      <c r="B39" s="43" t="str">
        <f t="shared" ref="B39:B44" si="0">"O2 - "&amp;FIXED(I39,2)&amp;" A/cm²"</f>
        <v>O2 - 0.40 A/cm²</v>
      </c>
      <c r="C39" s="38">
        <v>2</v>
      </c>
      <c r="D39" s="38">
        <v>2</v>
      </c>
      <c r="E39" s="61" t="s">
        <v>47</v>
      </c>
      <c r="F39" s="38" t="s">
        <v>121</v>
      </c>
      <c r="G39" s="39"/>
      <c r="H39" s="40">
        <v>1.1000000000000001</v>
      </c>
      <c r="I39" s="41">
        <v>0.4</v>
      </c>
      <c r="J39" s="42"/>
      <c r="K39" s="41">
        <v>0.4</v>
      </c>
      <c r="L39" s="41"/>
      <c r="M39" s="41"/>
      <c r="N39" s="38"/>
      <c r="O39" s="38"/>
      <c r="P39" s="38"/>
      <c r="Q39" s="38"/>
      <c r="R39" s="38"/>
      <c r="S39" s="38"/>
      <c r="T39" s="38"/>
      <c r="U39" s="38" t="s">
        <v>92</v>
      </c>
      <c r="V39" s="2" t="s">
        <v>92</v>
      </c>
    </row>
    <row r="40" spans="1:22" ht="13.5" x14ac:dyDescent="0.25">
      <c r="A40" s="10"/>
      <c r="B40" s="43" t="str">
        <f t="shared" si="0"/>
        <v>O2 - 0.20 A/cm²</v>
      </c>
      <c r="C40" s="38">
        <v>2</v>
      </c>
      <c r="D40" s="38">
        <v>2</v>
      </c>
      <c r="E40" s="61" t="s">
        <v>47</v>
      </c>
      <c r="F40" s="38"/>
      <c r="G40" s="39"/>
      <c r="H40" s="40"/>
      <c r="I40" s="41">
        <v>0.2</v>
      </c>
      <c r="J40" s="42"/>
      <c r="K40" s="41">
        <v>0.2</v>
      </c>
      <c r="L40" s="41"/>
      <c r="M40" s="41"/>
      <c r="N40" s="38"/>
      <c r="O40" s="38"/>
      <c r="P40" s="38"/>
      <c r="Q40" s="38"/>
      <c r="R40" s="38"/>
      <c r="S40" s="38"/>
      <c r="T40" s="38"/>
      <c r="U40" s="38"/>
    </row>
    <row r="41" spans="1:22" ht="13.5" x14ac:dyDescent="0.25">
      <c r="A41" s="10"/>
      <c r="B41" s="43" t="str">
        <f t="shared" si="0"/>
        <v>O2 - 0.10 A/cm²</v>
      </c>
      <c r="C41" s="38">
        <v>2</v>
      </c>
      <c r="D41" s="38">
        <v>2</v>
      </c>
      <c r="E41" s="61" t="s">
        <v>47</v>
      </c>
      <c r="F41" s="38"/>
      <c r="G41" s="39"/>
      <c r="H41" s="40"/>
      <c r="I41" s="41">
        <v>0.1</v>
      </c>
      <c r="J41" s="42"/>
      <c r="K41" s="41"/>
      <c r="L41" s="41"/>
      <c r="M41" s="41"/>
      <c r="N41" s="38"/>
      <c r="O41" s="38"/>
      <c r="P41" s="38"/>
      <c r="Q41" s="38"/>
      <c r="R41" s="38"/>
      <c r="S41" s="38"/>
      <c r="T41" s="38"/>
      <c r="U41" s="38"/>
    </row>
    <row r="42" spans="1:22" ht="13.5" x14ac:dyDescent="0.25">
      <c r="A42" s="10"/>
      <c r="B42" s="43" t="str">
        <f t="shared" si="0"/>
        <v>O2 - 0.05 A/cm²</v>
      </c>
      <c r="C42" s="38">
        <v>2</v>
      </c>
      <c r="D42" s="38">
        <v>2</v>
      </c>
      <c r="E42" s="61" t="s">
        <v>47</v>
      </c>
      <c r="F42" s="38"/>
      <c r="G42" s="39"/>
      <c r="H42" s="40"/>
      <c r="I42" s="41">
        <v>0.05</v>
      </c>
      <c r="J42" s="42"/>
      <c r="K42" s="41"/>
      <c r="L42" s="41"/>
      <c r="M42" s="41"/>
      <c r="N42" s="38"/>
      <c r="O42" s="38"/>
      <c r="P42" s="38"/>
      <c r="Q42" s="38"/>
      <c r="R42" s="38"/>
      <c r="S42" s="38"/>
      <c r="T42" s="38"/>
      <c r="U42" s="38"/>
    </row>
    <row r="43" spans="1:22" ht="13.5" x14ac:dyDescent="0.25">
      <c r="A43" s="10"/>
      <c r="B43" s="43" t="str">
        <f t="shared" si="0"/>
        <v>O2 - 0.03 A/cm²</v>
      </c>
      <c r="C43" s="38">
        <v>2</v>
      </c>
      <c r="D43" s="38">
        <v>2</v>
      </c>
      <c r="E43" s="61" t="s">
        <v>47</v>
      </c>
      <c r="F43" s="38"/>
      <c r="G43" s="39"/>
      <c r="H43" s="40"/>
      <c r="I43" s="41">
        <v>0.03</v>
      </c>
      <c r="J43" s="42"/>
      <c r="K43" s="41"/>
      <c r="L43" s="41"/>
      <c r="M43" s="41"/>
      <c r="N43" s="38"/>
      <c r="O43" s="38"/>
      <c r="P43" s="38"/>
      <c r="Q43" s="38"/>
      <c r="R43" s="38"/>
      <c r="S43" s="38"/>
      <c r="T43" s="38"/>
      <c r="U43" s="38"/>
    </row>
    <row r="44" spans="1:22" ht="13.5" x14ac:dyDescent="0.25">
      <c r="A44" s="10"/>
      <c r="B44" s="43" t="str">
        <f t="shared" si="0"/>
        <v>O2 - 0.02 A/cm²</v>
      </c>
      <c r="C44" s="38">
        <v>2</v>
      </c>
      <c r="D44" s="38">
        <v>2</v>
      </c>
      <c r="E44" s="61" t="s">
        <v>47</v>
      </c>
      <c r="F44" s="38"/>
      <c r="G44" s="39"/>
      <c r="H44" s="40"/>
      <c r="I44" s="41">
        <v>0.02</v>
      </c>
      <c r="J44" s="42"/>
      <c r="K44" s="41"/>
      <c r="L44" s="41"/>
      <c r="M44" s="41"/>
      <c r="N44" s="38"/>
      <c r="O44" s="38"/>
      <c r="P44" s="38"/>
      <c r="Q44" s="38"/>
      <c r="R44" s="38"/>
      <c r="S44" s="38"/>
      <c r="T44" s="38"/>
      <c r="U44" s="38"/>
    </row>
    <row r="45" spans="1:22" ht="13.5" x14ac:dyDescent="0.25">
      <c r="A45" s="10"/>
      <c r="B45" s="43" t="s">
        <v>94</v>
      </c>
      <c r="C45" s="38">
        <v>2</v>
      </c>
      <c r="D45" s="38">
        <v>0</v>
      </c>
      <c r="E45" s="61" t="s">
        <v>47</v>
      </c>
      <c r="F45" s="38" t="s">
        <v>68</v>
      </c>
      <c r="G45" s="39" t="s">
        <v>24</v>
      </c>
      <c r="H45" s="40">
        <v>0.9</v>
      </c>
      <c r="I45" s="41">
        <v>0</v>
      </c>
      <c r="J45" s="42"/>
      <c r="K45" s="41">
        <v>0.2</v>
      </c>
      <c r="L45" s="41"/>
      <c r="M45" s="41"/>
      <c r="N45" s="38"/>
      <c r="O45" s="38"/>
      <c r="P45" s="38"/>
      <c r="Q45" s="38"/>
      <c r="R45" s="38"/>
      <c r="S45" s="38"/>
      <c r="T45" s="38"/>
      <c r="U45" s="38"/>
    </row>
    <row r="46" spans="1:22" ht="13.5" x14ac:dyDescent="0.25">
      <c r="A46" s="10"/>
      <c r="C46" s="1"/>
      <c r="D46" s="1"/>
      <c r="E46" s="1"/>
      <c r="F46" s="22"/>
      <c r="G46" s="20"/>
      <c r="H46" s="34"/>
      <c r="I46" s="21"/>
      <c r="J46" s="32"/>
      <c r="K46" s="21"/>
      <c r="L46" s="21"/>
      <c r="M46" s="21"/>
      <c r="N46" s="1"/>
      <c r="O46" s="1"/>
      <c r="P46" s="1"/>
      <c r="S46" s="1"/>
      <c r="T46" s="1"/>
      <c r="U46" s="1"/>
    </row>
    <row r="47" spans="1:22" x14ac:dyDescent="0.2">
      <c r="A47" s="5" t="s">
        <v>30</v>
      </c>
      <c r="B47" s="96" t="s">
        <v>31</v>
      </c>
      <c r="C47" s="100" t="s">
        <v>122</v>
      </c>
      <c r="D47" s="6"/>
      <c r="E47" s="6"/>
      <c r="F47" s="2"/>
      <c r="G47" s="2"/>
      <c r="H47" s="2"/>
      <c r="I47" s="2"/>
      <c r="J47" s="2"/>
      <c r="K47" s="2"/>
      <c r="L47" s="2"/>
      <c r="M47" s="2"/>
      <c r="Q47" s="2"/>
      <c r="R47" s="2"/>
    </row>
    <row r="48" spans="1:22" x14ac:dyDescent="0.2">
      <c r="A48" s="5" t="s">
        <v>21</v>
      </c>
      <c r="B48" s="97" t="s">
        <v>8</v>
      </c>
      <c r="C48" s="97" t="s">
        <v>9</v>
      </c>
      <c r="D48" s="16"/>
      <c r="E48" s="6"/>
      <c r="F48" s="2"/>
      <c r="G48" s="2"/>
      <c r="H48" s="2"/>
      <c r="I48" s="2"/>
      <c r="J48" s="2"/>
      <c r="K48" s="2"/>
      <c r="L48" s="2"/>
      <c r="M48" s="2"/>
      <c r="Q48" s="2"/>
      <c r="R48" s="2"/>
    </row>
    <row r="49" spans="1:18" x14ac:dyDescent="0.2">
      <c r="A49" s="5" t="s">
        <v>21</v>
      </c>
      <c r="B49" s="97" t="s">
        <v>17</v>
      </c>
      <c r="C49" s="97">
        <v>1</v>
      </c>
      <c r="D49" s="16"/>
      <c r="E49" s="6"/>
      <c r="F49" s="2"/>
      <c r="G49" s="2"/>
      <c r="H49" s="2"/>
      <c r="I49" s="2"/>
      <c r="J49" s="2"/>
      <c r="K49" s="2"/>
      <c r="L49" s="2"/>
      <c r="M49" s="2"/>
      <c r="Q49" s="2"/>
      <c r="R49" s="2"/>
    </row>
    <row r="50" spans="1:18" x14ac:dyDescent="0.2">
      <c r="A50" s="5" t="s">
        <v>21</v>
      </c>
      <c r="B50" s="97" t="s">
        <v>125</v>
      </c>
      <c r="C50" s="101" t="s">
        <v>48</v>
      </c>
      <c r="D50" s="6"/>
      <c r="E50" s="6"/>
      <c r="F50" s="2"/>
      <c r="G50" s="2"/>
      <c r="H50" s="2"/>
      <c r="I50" s="2"/>
      <c r="J50" s="2"/>
      <c r="K50" s="2"/>
      <c r="L50" s="2"/>
      <c r="M50" s="2"/>
      <c r="Q50" s="2"/>
      <c r="R50" s="2"/>
    </row>
    <row r="51" spans="1:18" x14ac:dyDescent="0.2">
      <c r="A51" s="5"/>
      <c r="B51" s="96"/>
      <c r="C51" s="100"/>
      <c r="D51" s="6"/>
      <c r="E51" s="6"/>
      <c r="F51" s="2"/>
      <c r="G51" s="2"/>
      <c r="H51" s="2"/>
      <c r="I51" s="2"/>
      <c r="J51" s="2"/>
      <c r="K51" s="2"/>
      <c r="L51" s="2"/>
      <c r="M51" s="2"/>
      <c r="Q51" s="2"/>
      <c r="R51" s="2"/>
    </row>
    <row r="52" spans="1:18" x14ac:dyDescent="0.2">
      <c r="A52" s="5"/>
      <c r="B52" s="97" t="s">
        <v>8</v>
      </c>
      <c r="C52" s="97" t="s">
        <v>32</v>
      </c>
      <c r="D52" s="6"/>
      <c r="E52" s="6"/>
      <c r="F52" s="2"/>
      <c r="G52" s="2"/>
      <c r="H52" s="2"/>
      <c r="I52" s="2"/>
      <c r="J52" s="2"/>
      <c r="K52" s="2"/>
      <c r="L52" s="2"/>
      <c r="M52" s="2"/>
      <c r="Q52" s="2"/>
      <c r="R52" s="2"/>
    </row>
    <row r="53" spans="1:18" x14ac:dyDescent="0.2">
      <c r="A53" s="5"/>
      <c r="B53" s="97" t="s">
        <v>45</v>
      </c>
      <c r="C53" s="97" t="s">
        <v>46</v>
      </c>
      <c r="D53" s="6"/>
      <c r="E53" s="6"/>
      <c r="F53" s="2"/>
      <c r="G53" s="2"/>
      <c r="H53" s="2"/>
      <c r="I53" s="2"/>
      <c r="J53" s="2"/>
      <c r="K53" s="2"/>
      <c r="L53" s="2"/>
      <c r="M53" s="2"/>
      <c r="Q53" s="2"/>
      <c r="R53" s="2"/>
    </row>
    <row r="54" spans="1:18" x14ac:dyDescent="0.2">
      <c r="A54" s="5"/>
      <c r="B54" s="97" t="s">
        <v>17</v>
      </c>
      <c r="C54" s="97">
        <v>600</v>
      </c>
      <c r="D54" s="16"/>
      <c r="E54" s="6"/>
      <c r="F54" s="2"/>
      <c r="G54" s="2"/>
      <c r="H54" s="2"/>
      <c r="I54" s="2"/>
      <c r="J54" s="2"/>
      <c r="K54" s="2"/>
      <c r="L54" s="2"/>
      <c r="M54" s="2"/>
      <c r="Q54" s="2"/>
      <c r="R54" s="2"/>
    </row>
    <row r="55" spans="1:18" x14ac:dyDescent="0.2">
      <c r="A55" s="5"/>
      <c r="B55" s="97" t="s">
        <v>34</v>
      </c>
      <c r="C55" s="97" t="s">
        <v>41</v>
      </c>
      <c r="D55" s="6"/>
      <c r="E55" s="6"/>
      <c r="F55" s="2"/>
      <c r="G55" s="2"/>
      <c r="H55" s="2"/>
      <c r="I55" s="2"/>
      <c r="J55" s="2"/>
      <c r="K55" s="2"/>
      <c r="L55" s="2"/>
      <c r="M55" s="2"/>
      <c r="Q55" s="2"/>
      <c r="R55" s="2"/>
    </row>
    <row r="56" spans="1:18" x14ac:dyDescent="0.2">
      <c r="A56" s="5"/>
      <c r="B56" s="97" t="s">
        <v>164</v>
      </c>
      <c r="C56" s="98">
        <v>0.1</v>
      </c>
      <c r="D56" s="6"/>
      <c r="E56" s="6"/>
      <c r="F56" s="2"/>
      <c r="G56" s="2"/>
      <c r="H56" s="2"/>
      <c r="I56" s="2"/>
      <c r="J56" s="2"/>
      <c r="K56" s="2"/>
      <c r="L56" s="2"/>
      <c r="M56" s="2"/>
      <c r="Q56" s="2"/>
      <c r="R56" s="2"/>
    </row>
    <row r="57" spans="1:18" x14ac:dyDescent="0.2">
      <c r="A57" s="5"/>
      <c r="B57" s="96"/>
      <c r="C57" s="97"/>
      <c r="D57" s="6"/>
      <c r="E57" s="6"/>
      <c r="F57" s="2"/>
      <c r="G57" s="2"/>
      <c r="H57" s="2"/>
      <c r="I57" s="2"/>
      <c r="J57" s="2"/>
      <c r="K57" s="2"/>
      <c r="L57" s="2"/>
      <c r="M57" s="2"/>
      <c r="Q57" s="2"/>
      <c r="R57" s="2"/>
    </row>
    <row r="58" spans="1:18" x14ac:dyDescent="0.2">
      <c r="A58" s="5"/>
      <c r="B58" s="97" t="s">
        <v>8</v>
      </c>
      <c r="C58" s="97" t="s">
        <v>9</v>
      </c>
      <c r="D58" s="16"/>
      <c r="E58" s="6"/>
      <c r="F58" s="2"/>
      <c r="G58" s="2"/>
      <c r="H58" s="2"/>
      <c r="I58" s="2"/>
      <c r="J58" s="2"/>
      <c r="K58" s="2"/>
      <c r="L58" s="2"/>
      <c r="M58" s="2"/>
      <c r="Q58" s="2"/>
      <c r="R58" s="2"/>
    </row>
    <row r="59" spans="1:18" x14ac:dyDescent="0.2">
      <c r="A59" s="5"/>
      <c r="B59" s="97" t="s">
        <v>17</v>
      </c>
      <c r="C59" s="97">
        <v>5</v>
      </c>
      <c r="D59" s="16"/>
      <c r="E59" s="6"/>
      <c r="F59" s="2"/>
      <c r="G59" s="2"/>
      <c r="H59" s="2"/>
      <c r="I59" s="2"/>
      <c r="J59" s="2"/>
      <c r="K59" s="2"/>
      <c r="L59" s="2"/>
      <c r="M59" s="2"/>
      <c r="Q59" s="2"/>
      <c r="R59" s="2"/>
    </row>
    <row r="60" spans="1:18" x14ac:dyDescent="0.2">
      <c r="A60" s="2"/>
      <c r="B60" s="97" t="s">
        <v>142</v>
      </c>
      <c r="C60" s="102">
        <v>9.5</v>
      </c>
      <c r="D60" s="16" t="s">
        <v>203</v>
      </c>
      <c r="E60" s="6"/>
      <c r="F60" s="2"/>
      <c r="G60" s="2"/>
      <c r="H60" s="2"/>
      <c r="I60" s="2"/>
      <c r="J60" s="2"/>
      <c r="K60" s="2"/>
      <c r="L60" s="2"/>
      <c r="M60" s="2"/>
      <c r="Q60" s="2"/>
      <c r="R60" s="2"/>
    </row>
    <row r="61" spans="1:18" x14ac:dyDescent="0.2">
      <c r="A61" s="5"/>
      <c r="B61" s="96"/>
      <c r="C61" s="97"/>
      <c r="D61" s="6"/>
      <c r="E61" s="6"/>
      <c r="F61" s="2"/>
      <c r="G61" s="2"/>
      <c r="H61" s="2"/>
      <c r="I61" s="2"/>
      <c r="J61" s="2"/>
      <c r="K61" s="2"/>
      <c r="L61" s="2"/>
      <c r="M61" s="2"/>
      <c r="Q61" s="2"/>
      <c r="R61" s="2"/>
    </row>
    <row r="62" spans="1:18" x14ac:dyDescent="0.2">
      <c r="A62" s="5" t="s">
        <v>21</v>
      </c>
      <c r="B62" s="97" t="s">
        <v>8</v>
      </c>
      <c r="C62" s="97" t="s">
        <v>9</v>
      </c>
      <c r="D62" s="16"/>
      <c r="E62" s="6"/>
      <c r="F62" s="2"/>
      <c r="G62" s="2"/>
      <c r="H62" s="2"/>
      <c r="I62" s="2"/>
      <c r="J62" s="2"/>
      <c r="K62" s="2"/>
      <c r="L62" s="2"/>
      <c r="M62" s="2"/>
      <c r="Q62" s="2"/>
      <c r="R62" s="2"/>
    </row>
    <row r="63" spans="1:18" x14ac:dyDescent="0.2">
      <c r="A63" s="5" t="s">
        <v>21</v>
      </c>
      <c r="B63" s="97" t="s">
        <v>17</v>
      </c>
      <c r="C63" s="97">
        <v>1</v>
      </c>
      <c r="D63" s="16"/>
      <c r="E63" s="6"/>
      <c r="F63" s="2"/>
      <c r="G63" s="2"/>
      <c r="H63" s="2"/>
      <c r="I63" s="2"/>
      <c r="J63" s="2"/>
      <c r="K63" s="2"/>
      <c r="L63" s="2"/>
      <c r="M63" s="2"/>
      <c r="Q63" s="2"/>
      <c r="R63" s="2"/>
    </row>
    <row r="64" spans="1:18" x14ac:dyDescent="0.2">
      <c r="A64" s="5" t="s">
        <v>21</v>
      </c>
      <c r="B64" s="97" t="s">
        <v>125</v>
      </c>
      <c r="C64" s="101" t="s">
        <v>92</v>
      </c>
      <c r="D64" s="6"/>
      <c r="E64" s="6"/>
      <c r="F64" s="2"/>
      <c r="G64" s="2"/>
      <c r="H64" s="2"/>
      <c r="I64" s="2"/>
      <c r="J64" s="2"/>
      <c r="K64" s="2"/>
      <c r="L64" s="2"/>
      <c r="M64" s="2"/>
      <c r="Q64" s="2"/>
      <c r="R64" s="2"/>
    </row>
    <row r="65" spans="1:18" x14ac:dyDescent="0.2">
      <c r="F65" s="13"/>
      <c r="G65" s="13"/>
      <c r="H65" s="14"/>
      <c r="I65" s="14"/>
      <c r="J65" s="2"/>
      <c r="K65" s="2"/>
      <c r="L65" s="2"/>
      <c r="M65" s="2"/>
    </row>
    <row r="66" spans="1:18" x14ac:dyDescent="0.2">
      <c r="A66" s="4" t="s">
        <v>30</v>
      </c>
      <c r="B66" s="52" t="s">
        <v>31</v>
      </c>
      <c r="C66" s="69" t="s">
        <v>104</v>
      </c>
    </row>
    <row r="67" spans="1:18" x14ac:dyDescent="0.2">
      <c r="B67" s="53" t="s">
        <v>8</v>
      </c>
      <c r="C67" s="53" t="s">
        <v>96</v>
      </c>
    </row>
    <row r="68" spans="1:18" x14ac:dyDescent="0.2">
      <c r="B68" s="53" t="s">
        <v>45</v>
      </c>
      <c r="C68" s="53" t="s">
        <v>33</v>
      </c>
    </row>
    <row r="69" spans="1:18" x14ac:dyDescent="0.2">
      <c r="B69" s="53" t="s">
        <v>17</v>
      </c>
      <c r="C69" s="53">
        <v>1800</v>
      </c>
    </row>
    <row r="70" spans="1:18" x14ac:dyDescent="0.2">
      <c r="A70" s="2"/>
      <c r="B70" s="53" t="s">
        <v>34</v>
      </c>
      <c r="C70" s="53" t="s">
        <v>97</v>
      </c>
      <c r="F70" s="2"/>
      <c r="G70" s="2"/>
      <c r="H70" s="2"/>
      <c r="I70" s="2"/>
      <c r="J70" s="2"/>
      <c r="K70" s="2"/>
      <c r="L70" s="2"/>
      <c r="M70" s="2"/>
      <c r="Q70" s="2"/>
      <c r="R70" s="2"/>
    </row>
    <row r="71" spans="1:18" x14ac:dyDescent="0.2">
      <c r="A71" s="2"/>
      <c r="B71" s="53" t="s">
        <v>98</v>
      </c>
      <c r="C71" s="54" t="s">
        <v>161</v>
      </c>
      <c r="F71" s="2"/>
      <c r="G71" s="2"/>
      <c r="H71" s="2"/>
      <c r="I71" s="2"/>
      <c r="J71" s="2"/>
      <c r="K71" s="2"/>
      <c r="L71" s="2"/>
      <c r="M71" s="2"/>
      <c r="Q71" s="2"/>
      <c r="R71" s="2"/>
    </row>
    <row r="72" spans="1:18" x14ac:dyDescent="0.2">
      <c r="A72" s="2"/>
      <c r="B72" s="53" t="s">
        <v>99</v>
      </c>
      <c r="C72" s="54" t="s">
        <v>144</v>
      </c>
      <c r="F72" s="2"/>
      <c r="G72" s="2"/>
      <c r="H72" s="2"/>
      <c r="I72" s="2"/>
      <c r="J72" s="2"/>
      <c r="K72" s="2"/>
      <c r="L72" s="2"/>
      <c r="M72" s="2"/>
      <c r="Q72" s="2"/>
      <c r="R72" s="2"/>
    </row>
    <row r="73" spans="1:18" x14ac:dyDescent="0.2">
      <c r="A73" s="2"/>
      <c r="B73" s="53" t="s">
        <v>100</v>
      </c>
      <c r="C73" s="53">
        <v>0.2</v>
      </c>
      <c r="F73" s="2"/>
      <c r="G73" s="2"/>
      <c r="H73" s="2"/>
      <c r="I73" s="2"/>
      <c r="J73" s="2"/>
      <c r="K73" s="2"/>
      <c r="L73" s="2"/>
      <c r="M73" s="2"/>
      <c r="Q73" s="2"/>
      <c r="R73" s="2"/>
    </row>
    <row r="74" spans="1:18" x14ac:dyDescent="0.2">
      <c r="A74" s="2"/>
      <c r="B74" s="53" t="s">
        <v>101</v>
      </c>
      <c r="C74" s="53">
        <v>60</v>
      </c>
      <c r="F74" s="2"/>
      <c r="G74" s="2"/>
      <c r="H74" s="2"/>
      <c r="I74" s="2"/>
      <c r="J74" s="2"/>
      <c r="K74" s="2"/>
      <c r="L74" s="2"/>
      <c r="M74" s="2"/>
      <c r="Q74" s="2"/>
      <c r="R74" s="2"/>
    </row>
    <row r="75" spans="1:18" x14ac:dyDescent="0.2">
      <c r="A75" s="2"/>
      <c r="B75" s="53" t="s">
        <v>34</v>
      </c>
      <c r="C75" s="53" t="s">
        <v>97</v>
      </c>
      <c r="F75" s="2"/>
      <c r="G75" s="2"/>
      <c r="H75" s="2"/>
      <c r="I75" s="2"/>
      <c r="J75" s="2"/>
      <c r="K75" s="2"/>
      <c r="L75" s="2"/>
      <c r="M75" s="2"/>
      <c r="Q75" s="2"/>
      <c r="R75" s="2"/>
    </row>
    <row r="76" spans="1:18" x14ac:dyDescent="0.2">
      <c r="A76" s="2"/>
      <c r="B76" s="53" t="s">
        <v>98</v>
      </c>
      <c r="C76" s="54" t="s">
        <v>162</v>
      </c>
      <c r="F76" s="2"/>
      <c r="G76" s="2"/>
      <c r="H76" s="2"/>
      <c r="I76" s="2"/>
      <c r="J76" s="2"/>
      <c r="K76" s="2"/>
      <c r="L76" s="2"/>
      <c r="M76" s="2"/>
      <c r="Q76" s="2"/>
      <c r="R76" s="2"/>
    </row>
    <row r="77" spans="1:18" x14ac:dyDescent="0.2">
      <c r="A77" s="2"/>
      <c r="B77" s="53" t="s">
        <v>99</v>
      </c>
      <c r="C77" s="54" t="s">
        <v>159</v>
      </c>
      <c r="F77" s="2"/>
      <c r="G77" s="2"/>
      <c r="H77" s="2"/>
      <c r="I77" s="2"/>
      <c r="J77" s="2"/>
      <c r="K77" s="2"/>
      <c r="L77" s="2"/>
      <c r="M77" s="2"/>
      <c r="Q77" s="2"/>
      <c r="R77" s="2"/>
    </row>
    <row r="78" spans="1:18" x14ac:dyDescent="0.2">
      <c r="A78" s="2"/>
      <c r="B78" s="53" t="s">
        <v>100</v>
      </c>
      <c r="C78" s="53">
        <v>0.2</v>
      </c>
      <c r="F78" s="2"/>
      <c r="G78" s="2"/>
      <c r="H78" s="2"/>
      <c r="I78" s="2"/>
      <c r="J78" s="2"/>
      <c r="K78" s="2"/>
      <c r="L78" s="2"/>
      <c r="M78" s="2"/>
      <c r="Q78" s="2"/>
      <c r="R78" s="2"/>
    </row>
    <row r="79" spans="1:18" x14ac:dyDescent="0.2">
      <c r="A79" s="2"/>
      <c r="B79" s="53" t="s">
        <v>101</v>
      </c>
      <c r="C79" s="53">
        <v>60</v>
      </c>
      <c r="F79" s="2"/>
      <c r="G79" s="2"/>
      <c r="H79" s="2"/>
      <c r="I79" s="2"/>
      <c r="J79" s="2"/>
      <c r="K79" s="2"/>
      <c r="L79" s="2"/>
      <c r="M79" s="2"/>
      <c r="Q79" s="2"/>
      <c r="R79" s="2"/>
    </row>
    <row r="80" spans="1:18" x14ac:dyDescent="0.2">
      <c r="A80" s="2"/>
      <c r="B80" s="53" t="s">
        <v>34</v>
      </c>
      <c r="C80" s="53" t="s">
        <v>97</v>
      </c>
      <c r="F80" s="2"/>
      <c r="G80" s="2"/>
      <c r="H80" s="2"/>
      <c r="I80" s="2"/>
      <c r="J80" s="2"/>
      <c r="K80" s="2"/>
      <c r="L80" s="2"/>
      <c r="M80" s="2"/>
      <c r="Q80" s="2"/>
      <c r="R80" s="2"/>
    </row>
    <row r="81" spans="1:18" x14ac:dyDescent="0.2">
      <c r="A81" s="2"/>
      <c r="B81" s="53" t="s">
        <v>98</v>
      </c>
      <c r="C81" s="54" t="s">
        <v>163</v>
      </c>
      <c r="F81" s="2"/>
      <c r="G81" s="2"/>
      <c r="H81" s="2"/>
      <c r="I81" s="2"/>
      <c r="J81" s="2"/>
      <c r="K81" s="2"/>
      <c r="L81" s="2"/>
      <c r="M81" s="2"/>
      <c r="Q81" s="2"/>
      <c r="R81" s="2"/>
    </row>
    <row r="82" spans="1:18" x14ac:dyDescent="0.2">
      <c r="A82" s="2"/>
      <c r="B82" s="53" t="s">
        <v>99</v>
      </c>
      <c r="C82" s="54" t="s">
        <v>160</v>
      </c>
      <c r="F82" s="2"/>
      <c r="G82" s="2"/>
      <c r="H82" s="2"/>
      <c r="I82" s="2"/>
      <c r="J82" s="2"/>
      <c r="K82" s="2"/>
      <c r="L82" s="2"/>
      <c r="M82" s="2"/>
      <c r="Q82" s="2"/>
      <c r="R82" s="2"/>
    </row>
    <row r="83" spans="1:18" x14ac:dyDescent="0.2">
      <c r="A83" s="2"/>
      <c r="B83" s="53" t="s">
        <v>100</v>
      </c>
      <c r="C83" s="53">
        <v>0.2</v>
      </c>
      <c r="F83" s="2"/>
      <c r="G83" s="2"/>
      <c r="H83" s="2"/>
      <c r="I83" s="2"/>
      <c r="J83" s="2"/>
      <c r="K83" s="2"/>
      <c r="L83" s="2"/>
      <c r="M83" s="2"/>
      <c r="Q83" s="2"/>
      <c r="R83" s="2"/>
    </row>
    <row r="84" spans="1:18" x14ac:dyDescent="0.2">
      <c r="A84" s="2"/>
      <c r="B84" s="53" t="s">
        <v>101</v>
      </c>
      <c r="C84" s="53">
        <v>60</v>
      </c>
      <c r="F84" s="2"/>
      <c r="G84" s="2"/>
      <c r="H84" s="2"/>
      <c r="I84" s="2"/>
      <c r="J84" s="2"/>
      <c r="K84" s="2"/>
      <c r="L84" s="2"/>
      <c r="M84" s="2"/>
      <c r="Q84" s="2"/>
      <c r="R84" s="2"/>
    </row>
    <row r="86" spans="1:18" x14ac:dyDescent="0.2">
      <c r="A86" s="5" t="s">
        <v>30</v>
      </c>
      <c r="B86" s="57" t="s">
        <v>31</v>
      </c>
      <c r="C86" s="58" t="s">
        <v>47</v>
      </c>
      <c r="D86" s="6"/>
      <c r="E86" s="6"/>
      <c r="F86" s="2"/>
      <c r="G86" s="2"/>
      <c r="H86" s="2"/>
      <c r="I86" s="2"/>
      <c r="J86" s="2"/>
      <c r="K86" s="2"/>
      <c r="L86" s="2"/>
      <c r="M86" s="2"/>
      <c r="Q86" s="2"/>
      <c r="R86" s="2"/>
    </row>
    <row r="87" spans="1:18" x14ac:dyDescent="0.2">
      <c r="A87" s="5"/>
      <c r="B87" s="58" t="s">
        <v>8</v>
      </c>
      <c r="C87" s="58" t="s">
        <v>32</v>
      </c>
      <c r="D87" s="6"/>
      <c r="E87" s="6"/>
      <c r="F87" s="2"/>
      <c r="G87" s="2"/>
      <c r="H87" s="2"/>
      <c r="I87" s="2"/>
      <c r="J87" s="2"/>
      <c r="K87" s="2"/>
      <c r="L87" s="2"/>
      <c r="M87" s="2"/>
      <c r="Q87" s="2"/>
      <c r="R87" s="2"/>
    </row>
    <row r="88" spans="1:18" x14ac:dyDescent="0.2">
      <c r="A88" s="5"/>
      <c r="B88" s="58" t="s">
        <v>45</v>
      </c>
      <c r="C88" s="58" t="s">
        <v>46</v>
      </c>
      <c r="D88" s="6"/>
      <c r="E88" s="6"/>
      <c r="F88" s="2"/>
      <c r="G88" s="2"/>
      <c r="H88" s="2"/>
      <c r="I88" s="2"/>
      <c r="J88" s="2"/>
      <c r="K88" s="2"/>
      <c r="L88" s="2"/>
      <c r="M88" s="2"/>
      <c r="Q88" s="2"/>
      <c r="R88" s="2"/>
    </row>
    <row r="89" spans="1:18" x14ac:dyDescent="0.2">
      <c r="A89" s="5"/>
      <c r="B89" s="58" t="s">
        <v>17</v>
      </c>
      <c r="C89" s="58">
        <f>LEFT(D89,3)*1</f>
        <v>180</v>
      </c>
      <c r="D89" s="16" t="s">
        <v>55</v>
      </c>
      <c r="E89" s="6"/>
      <c r="F89" s="2"/>
      <c r="G89" s="2"/>
      <c r="H89" s="2"/>
      <c r="I89" s="2"/>
      <c r="J89" s="2"/>
      <c r="K89" s="2"/>
      <c r="L89" s="2"/>
      <c r="M89" s="2"/>
      <c r="Q89" s="2"/>
      <c r="R89" s="2"/>
    </row>
    <row r="90" spans="1:18" x14ac:dyDescent="0.2">
      <c r="A90" s="5"/>
      <c r="B90" s="58" t="s">
        <v>34</v>
      </c>
      <c r="C90" s="58" t="s">
        <v>41</v>
      </c>
      <c r="D90" s="6"/>
      <c r="E90" s="6"/>
      <c r="F90" s="2"/>
      <c r="G90" s="2"/>
      <c r="H90" s="2"/>
      <c r="I90" s="2"/>
      <c r="J90" s="2"/>
      <c r="K90" s="2"/>
      <c r="L90" s="2"/>
      <c r="M90" s="2"/>
      <c r="Q90" s="2"/>
      <c r="R90" s="2"/>
    </row>
    <row r="91" spans="1:18" x14ac:dyDescent="0.2">
      <c r="A91" s="5"/>
      <c r="B91" s="58" t="s">
        <v>164</v>
      </c>
      <c r="C91" s="59">
        <v>0.2</v>
      </c>
      <c r="D91" s="6"/>
      <c r="E91" s="6"/>
      <c r="F91" s="2"/>
      <c r="G91" s="2"/>
      <c r="H91" s="2"/>
      <c r="I91" s="2"/>
      <c r="J91" s="2"/>
      <c r="K91" s="2"/>
      <c r="L91" s="2"/>
      <c r="M91" s="2"/>
      <c r="Q91" s="2"/>
      <c r="R91" s="2"/>
    </row>
    <row r="92" spans="1:18" x14ac:dyDescent="0.2">
      <c r="A92" s="5"/>
      <c r="B92" s="58" t="s">
        <v>34</v>
      </c>
      <c r="C92" s="58" t="s">
        <v>42</v>
      </c>
      <c r="D92" s="6"/>
      <c r="E92" s="6"/>
      <c r="F92" s="2"/>
      <c r="G92" s="2"/>
      <c r="H92" s="2"/>
      <c r="I92" s="2"/>
      <c r="J92" s="2"/>
      <c r="K92" s="2"/>
      <c r="L92" s="2"/>
      <c r="M92" s="2"/>
      <c r="Q92" s="2"/>
      <c r="R92" s="2"/>
    </row>
    <row r="93" spans="1:18" x14ac:dyDescent="0.2">
      <c r="A93" s="5"/>
      <c r="B93" s="58" t="s">
        <v>135</v>
      </c>
      <c r="C93" s="60" t="s">
        <v>14</v>
      </c>
      <c r="D93" s="6"/>
      <c r="E93" s="6"/>
      <c r="F93" s="2"/>
      <c r="G93" s="2"/>
      <c r="H93" s="2"/>
      <c r="I93" s="2"/>
      <c r="J93" s="2"/>
      <c r="K93" s="2"/>
      <c r="L93" s="2"/>
      <c r="M93" s="2"/>
      <c r="Q93" s="2"/>
      <c r="R93" s="2"/>
    </row>
    <row r="94" spans="1:18" x14ac:dyDescent="0.2">
      <c r="A94" s="5"/>
      <c r="B94" s="57"/>
      <c r="C94" s="58"/>
      <c r="D94" s="6"/>
      <c r="E94" s="6"/>
      <c r="F94" s="2"/>
      <c r="G94" s="2"/>
      <c r="H94" s="2"/>
      <c r="I94" s="2"/>
      <c r="J94" s="2"/>
      <c r="K94" s="2"/>
      <c r="L94" s="2"/>
      <c r="M94" s="2"/>
      <c r="Q94" s="2"/>
      <c r="R94" s="2"/>
    </row>
    <row r="95" spans="1:18" x14ac:dyDescent="0.2">
      <c r="A95" s="5"/>
      <c r="B95" s="58" t="s">
        <v>8</v>
      </c>
      <c r="C95" s="58" t="s">
        <v>9</v>
      </c>
      <c r="D95" s="16" t="s">
        <v>196</v>
      </c>
      <c r="E95" s="6"/>
      <c r="F95" s="2"/>
      <c r="G95" s="2"/>
      <c r="H95" s="2"/>
      <c r="I95" s="2"/>
      <c r="J95" s="2"/>
      <c r="K95" s="2"/>
      <c r="L95" s="2"/>
      <c r="M95" s="2"/>
      <c r="Q95" s="2"/>
      <c r="R95" s="2"/>
    </row>
    <row r="96" spans="1:18" x14ac:dyDescent="0.2">
      <c r="A96" s="5"/>
      <c r="B96" s="58" t="s">
        <v>17</v>
      </c>
      <c r="C96" s="58">
        <v>2</v>
      </c>
      <c r="D96" s="16"/>
      <c r="E96" s="6"/>
      <c r="F96" s="2"/>
      <c r="G96" s="2"/>
      <c r="H96" s="2"/>
      <c r="I96" s="2"/>
      <c r="J96" s="2"/>
      <c r="K96" s="2"/>
      <c r="L96" s="2"/>
      <c r="M96" s="2"/>
      <c r="Q96" s="2"/>
      <c r="R96" s="2"/>
    </row>
    <row r="97" spans="1:18" x14ac:dyDescent="0.2">
      <c r="A97" s="5" t="s">
        <v>21</v>
      </c>
      <c r="B97" s="58" t="s">
        <v>190</v>
      </c>
      <c r="C97" s="58">
        <v>1</v>
      </c>
      <c r="D97" s="16" t="s">
        <v>199</v>
      </c>
      <c r="E97" s="6"/>
      <c r="F97" s="2"/>
      <c r="G97" s="2"/>
      <c r="H97" s="2"/>
      <c r="I97" s="2"/>
      <c r="J97" s="2"/>
      <c r="K97" s="2"/>
      <c r="L97" s="2"/>
      <c r="M97" s="2"/>
      <c r="Q97" s="2"/>
      <c r="R97" s="2"/>
    </row>
    <row r="98" spans="1:18" x14ac:dyDescent="0.2">
      <c r="A98" s="5"/>
      <c r="B98" s="58" t="s">
        <v>25</v>
      </c>
      <c r="C98" s="58">
        <v>1</v>
      </c>
      <c r="D98" s="6"/>
      <c r="E98" s="6"/>
      <c r="F98" s="2"/>
      <c r="G98" s="2"/>
      <c r="H98" s="2"/>
      <c r="I98" s="2"/>
      <c r="J98" s="2"/>
      <c r="K98" s="2"/>
      <c r="L98" s="2"/>
      <c r="M98" s="2"/>
      <c r="Q98" s="2"/>
      <c r="R98" s="2"/>
    </row>
    <row r="99" spans="1:18" x14ac:dyDescent="0.2">
      <c r="A99" s="5"/>
      <c r="B99" s="58" t="s">
        <v>195</v>
      </c>
      <c r="C99" s="58">
        <v>1</v>
      </c>
      <c r="D99" s="6"/>
      <c r="E99" s="6"/>
      <c r="F99" s="2"/>
      <c r="G99" s="2"/>
      <c r="H99" s="2"/>
      <c r="I99" s="2"/>
      <c r="J99" s="2"/>
      <c r="K99" s="2"/>
      <c r="L99" s="2"/>
      <c r="M99" s="2"/>
      <c r="Q99" s="2"/>
      <c r="R99" s="2"/>
    </row>
    <row r="100" spans="1:18" x14ac:dyDescent="0.2">
      <c r="A100" s="5"/>
      <c r="B100" s="58"/>
      <c r="C100" s="58"/>
      <c r="D100" s="6"/>
      <c r="E100" s="6"/>
      <c r="F100" s="2"/>
      <c r="G100" s="2"/>
      <c r="H100" s="2"/>
      <c r="I100" s="2"/>
      <c r="J100" s="2"/>
      <c r="K100" s="2"/>
      <c r="L100" s="2"/>
      <c r="M100" s="2"/>
      <c r="Q100" s="2"/>
      <c r="R100" s="2"/>
    </row>
    <row r="101" spans="1:18" x14ac:dyDescent="0.2">
      <c r="A101" s="5"/>
      <c r="B101" s="58" t="s">
        <v>8</v>
      </c>
      <c r="C101" s="58" t="s">
        <v>32</v>
      </c>
      <c r="D101" s="16" t="str">
        <f>"If " &amp; C103 &amp; " seconds pass, OR Voltage &lt;" &amp; C105 &amp; " Volts, OR LB_ENBL is OFF go to next 'Step Type'"</f>
        <v>If 60 seconds pass, OR Voltage &lt;0.2 Volts, OR LB_ENBL is OFF go to next 'Step Type'</v>
      </c>
      <c r="E101" s="6"/>
      <c r="F101" s="2"/>
      <c r="G101" s="2"/>
      <c r="H101" s="2"/>
      <c r="I101" s="2"/>
      <c r="J101" s="2"/>
      <c r="K101" s="2"/>
      <c r="L101" s="2"/>
      <c r="M101" s="2"/>
      <c r="Q101" s="2"/>
      <c r="R101" s="2"/>
    </row>
    <row r="102" spans="1:18" x14ac:dyDescent="0.2">
      <c r="A102" s="5"/>
      <c r="B102" s="58" t="s">
        <v>45</v>
      </c>
      <c r="C102" s="58" t="s">
        <v>46</v>
      </c>
      <c r="D102" s="6"/>
      <c r="E102" s="6"/>
      <c r="F102" s="2"/>
      <c r="G102" s="2"/>
      <c r="H102" s="2"/>
      <c r="I102" s="2"/>
      <c r="J102" s="2"/>
      <c r="K102" s="2"/>
      <c r="L102" s="2"/>
      <c r="M102" s="2"/>
      <c r="Q102" s="2"/>
      <c r="R102" s="2"/>
    </row>
    <row r="103" spans="1:18" x14ac:dyDescent="0.2">
      <c r="A103" s="5"/>
      <c r="B103" s="58" t="s">
        <v>17</v>
      </c>
      <c r="C103" s="58">
        <v>60</v>
      </c>
      <c r="D103" s="6"/>
      <c r="E103" s="6"/>
      <c r="F103" s="2"/>
      <c r="G103" s="2"/>
      <c r="H103" s="2"/>
      <c r="I103" s="2"/>
      <c r="J103" s="2"/>
      <c r="K103" s="2"/>
      <c r="L103" s="2"/>
      <c r="M103" s="2"/>
      <c r="Q103" s="2"/>
      <c r="R103" s="2"/>
    </row>
    <row r="104" spans="1:18" x14ac:dyDescent="0.2">
      <c r="A104" s="5"/>
      <c r="B104" s="58" t="s">
        <v>34</v>
      </c>
      <c r="C104" s="58" t="s">
        <v>41</v>
      </c>
      <c r="D104" s="6"/>
      <c r="E104" s="6"/>
      <c r="F104" s="2"/>
      <c r="G104" s="2"/>
      <c r="H104" s="2"/>
      <c r="I104" s="2"/>
      <c r="J104" s="2"/>
      <c r="K104" s="2"/>
      <c r="L104" s="2"/>
      <c r="M104" s="2"/>
      <c r="Q104" s="2"/>
      <c r="R104" s="2"/>
    </row>
    <row r="105" spans="1:18" x14ac:dyDescent="0.2">
      <c r="A105" s="5"/>
      <c r="B105" s="58" t="s">
        <v>164</v>
      </c>
      <c r="C105" s="59">
        <v>0.2</v>
      </c>
      <c r="D105" s="16" t="s">
        <v>198</v>
      </c>
      <c r="E105" s="6"/>
      <c r="F105" s="2"/>
      <c r="G105" s="2"/>
      <c r="H105" s="2"/>
      <c r="I105" s="2"/>
      <c r="J105" s="2"/>
      <c r="K105" s="2"/>
      <c r="L105" s="2"/>
      <c r="M105" s="2"/>
      <c r="Q105" s="2"/>
      <c r="R105" s="2"/>
    </row>
    <row r="106" spans="1:18" x14ac:dyDescent="0.2">
      <c r="A106" s="5"/>
      <c r="B106" s="58" t="s">
        <v>34</v>
      </c>
      <c r="C106" s="58" t="s">
        <v>42</v>
      </c>
      <c r="D106" s="6"/>
      <c r="E106" s="6"/>
      <c r="F106" s="2"/>
      <c r="G106" s="2"/>
      <c r="H106" s="2"/>
      <c r="I106" s="2"/>
      <c r="J106" s="2"/>
      <c r="K106" s="2"/>
      <c r="L106" s="2"/>
      <c r="M106" s="2"/>
      <c r="Q106" s="2"/>
      <c r="R106" s="2"/>
    </row>
    <row r="107" spans="1:18" x14ac:dyDescent="0.2">
      <c r="A107" s="5"/>
      <c r="B107" s="58" t="s">
        <v>135</v>
      </c>
      <c r="C107" s="60" t="s">
        <v>14</v>
      </c>
      <c r="D107" s="6"/>
      <c r="E107" s="6"/>
      <c r="F107" s="2"/>
      <c r="G107" s="2"/>
      <c r="H107" s="2"/>
      <c r="I107" s="2"/>
      <c r="J107" s="2"/>
      <c r="K107" s="2"/>
      <c r="L107" s="2"/>
      <c r="M107" s="2"/>
      <c r="Q107" s="2"/>
      <c r="R107" s="2"/>
    </row>
    <row r="108" spans="1:18" x14ac:dyDescent="0.2">
      <c r="A108" s="5"/>
      <c r="B108" s="58"/>
      <c r="C108" s="58"/>
      <c r="D108" s="6"/>
      <c r="E108" s="6"/>
      <c r="F108" s="2"/>
      <c r="G108" s="2"/>
      <c r="H108" s="2"/>
      <c r="I108" s="2"/>
      <c r="J108" s="2"/>
      <c r="K108" s="2"/>
      <c r="L108" s="2"/>
      <c r="M108" s="2"/>
      <c r="Q108" s="2"/>
      <c r="R108" s="2"/>
    </row>
    <row r="109" spans="1:18" x14ac:dyDescent="0.2">
      <c r="A109" s="5"/>
      <c r="B109" s="58" t="s">
        <v>8</v>
      </c>
      <c r="C109" s="58" t="s">
        <v>9</v>
      </c>
      <c r="D109" s="6"/>
      <c r="E109" s="6"/>
      <c r="F109" s="2"/>
      <c r="G109" s="2"/>
      <c r="H109" s="2"/>
      <c r="I109" s="2"/>
      <c r="J109" s="2"/>
      <c r="K109" s="2"/>
      <c r="L109" s="2"/>
      <c r="M109" s="2"/>
      <c r="Q109" s="2"/>
      <c r="R109" s="2"/>
    </row>
    <row r="110" spans="1:18" x14ac:dyDescent="0.2">
      <c r="A110" s="5"/>
      <c r="B110" s="58" t="s">
        <v>17</v>
      </c>
      <c r="C110" s="58">
        <v>2</v>
      </c>
      <c r="D110" s="6"/>
      <c r="E110" s="6"/>
      <c r="F110" s="2"/>
      <c r="G110" s="2"/>
      <c r="H110" s="2"/>
      <c r="I110" s="2"/>
      <c r="J110" s="2"/>
      <c r="K110" s="2"/>
      <c r="L110" s="2"/>
      <c r="M110" s="2"/>
      <c r="Q110" s="2"/>
      <c r="R110" s="2"/>
    </row>
    <row r="111" spans="1:18" x14ac:dyDescent="0.2">
      <c r="A111" s="5"/>
      <c r="B111" s="58" t="s">
        <v>194</v>
      </c>
      <c r="C111" s="60" t="s">
        <v>92</v>
      </c>
      <c r="D111" s="16" t="s">
        <v>197</v>
      </c>
      <c r="E111" s="6"/>
      <c r="F111" s="2"/>
      <c r="G111" s="2"/>
      <c r="H111" s="2"/>
      <c r="I111" s="2"/>
      <c r="J111" s="2"/>
      <c r="K111" s="2"/>
      <c r="L111" s="2"/>
      <c r="M111" s="2"/>
      <c r="Q111" s="2"/>
      <c r="R111" s="2"/>
    </row>
    <row r="113" spans="1:18" x14ac:dyDescent="0.2">
      <c r="A113" s="4" t="s">
        <v>6</v>
      </c>
    </row>
    <row r="114" spans="1:18" x14ac:dyDescent="0.2">
      <c r="B114" s="2" t="s">
        <v>8</v>
      </c>
      <c r="C114" s="2" t="s">
        <v>9</v>
      </c>
    </row>
    <row r="115" spans="1:18" x14ac:dyDescent="0.2">
      <c r="B115" s="2" t="s">
        <v>17</v>
      </c>
      <c r="C115" s="2">
        <v>2</v>
      </c>
    </row>
    <row r="116" spans="1:18" x14ac:dyDescent="0.2">
      <c r="B116" s="2" t="s">
        <v>166</v>
      </c>
      <c r="C116" s="2" t="str">
        <f ca="1">MID(CELL("filename",A1),FIND("]",CELL("filename",A1))+1,256) &amp; " Finished"</f>
        <v>O2 Finished</v>
      </c>
    </row>
    <row r="117" spans="1:18" x14ac:dyDescent="0.2">
      <c r="B117" s="2" t="s">
        <v>193</v>
      </c>
      <c r="C117" s="6" t="s">
        <v>48</v>
      </c>
    </row>
    <row r="118" spans="1:18" x14ac:dyDescent="0.2">
      <c r="B118" s="2" t="s">
        <v>201</v>
      </c>
      <c r="C118" s="25" t="s">
        <v>92</v>
      </c>
    </row>
    <row r="119" spans="1:18" x14ac:dyDescent="0.2">
      <c r="B119" s="2" t="s">
        <v>202</v>
      </c>
      <c r="C119" s="25" t="s">
        <v>92</v>
      </c>
      <c r="D119" s="3" t="s">
        <v>200</v>
      </c>
    </row>
    <row r="120" spans="1:18" x14ac:dyDescent="0.2">
      <c r="A120" s="4" t="s">
        <v>7</v>
      </c>
      <c r="F120" s="2"/>
      <c r="G120" s="2"/>
      <c r="H120" s="2"/>
      <c r="I120" s="2"/>
      <c r="J120" s="2"/>
      <c r="K120" s="2"/>
      <c r="L120" s="2"/>
      <c r="M120" s="2"/>
      <c r="Q120" s="2"/>
      <c r="R120" s="2"/>
    </row>
  </sheetData>
  <phoneticPr fontId="0" type="noConversion"/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E506-55FB-4C06-9A2F-ED583E137298}">
  <sheetPr codeName="Sheet25">
    <pageSetUpPr fitToPage="1"/>
  </sheetPr>
  <dimension ref="A1:S135"/>
  <sheetViews>
    <sheetView topLeftCell="A32" zoomScale="85" zoomScaleNormal="25" zoomScaleSheetLayoutView="70" workbookViewId="0">
      <selection activeCell="C37" sqref="C37"/>
    </sheetView>
  </sheetViews>
  <sheetFormatPr defaultRowHeight="12.75" x14ac:dyDescent="0.2"/>
  <cols>
    <col min="1" max="1" width="11.5703125" style="4" bestFit="1" customWidth="1"/>
    <col min="2" max="2" width="56" style="2" customWidth="1"/>
    <col min="3" max="3" width="20.140625" style="2" customWidth="1"/>
    <col min="4" max="4" width="7.85546875" style="2" customWidth="1"/>
    <col min="5" max="5" width="18.42578125" style="2" bestFit="1" customWidth="1"/>
    <col min="6" max="6" width="8.42578125" style="6" bestFit="1" customWidth="1"/>
    <col min="7" max="7" width="8.7109375" style="6" bestFit="1" customWidth="1"/>
    <col min="8" max="8" width="8.5703125" style="6" bestFit="1" customWidth="1"/>
    <col min="9" max="9" width="9.28515625" style="6" bestFit="1" customWidth="1"/>
    <col min="10" max="10" width="7.5703125" style="6" bestFit="1" customWidth="1"/>
    <col min="11" max="11" width="9.85546875" style="6" bestFit="1" customWidth="1"/>
    <col min="12" max="13" width="8.140625" style="6" customWidth="1"/>
    <col min="14" max="14" width="6.42578125" style="2" bestFit="1" customWidth="1"/>
    <col min="15" max="15" width="9.5703125" style="2" customWidth="1"/>
    <col min="16" max="16" width="9.5703125" style="2" bestFit="1" customWidth="1"/>
    <col min="17" max="18" width="7.5703125" style="1" bestFit="1" customWidth="1"/>
    <col min="19" max="19" width="11.28515625" style="2" customWidth="1"/>
    <col min="20" max="16384" width="9.140625" style="2"/>
  </cols>
  <sheetData>
    <row r="1" spans="1:19" s="4" customFormat="1" x14ac:dyDescent="0.2">
      <c r="A1" s="4" t="s">
        <v>3</v>
      </c>
      <c r="B1" s="4" t="s">
        <v>4</v>
      </c>
      <c r="C1" s="2"/>
      <c r="E1" s="2"/>
      <c r="F1" s="6"/>
      <c r="G1" s="6"/>
      <c r="H1" s="6"/>
      <c r="I1" s="6"/>
      <c r="J1" s="6"/>
      <c r="K1" s="6"/>
      <c r="L1" s="6"/>
      <c r="M1" s="6"/>
      <c r="N1" s="2"/>
      <c r="O1" s="2"/>
      <c r="P1" s="2"/>
      <c r="Q1" s="1"/>
      <c r="R1" s="1"/>
      <c r="S1" s="2"/>
    </row>
    <row r="2" spans="1:19" x14ac:dyDescent="0.2">
      <c r="A2" s="4" t="s">
        <v>0</v>
      </c>
      <c r="B2" s="3" t="s">
        <v>1</v>
      </c>
      <c r="C2" s="3" t="s">
        <v>2</v>
      </c>
    </row>
    <row r="4" spans="1:19" x14ac:dyDescent="0.2">
      <c r="A4" s="4" t="s">
        <v>5</v>
      </c>
    </row>
    <row r="5" spans="1:19" x14ac:dyDescent="0.2">
      <c r="B5" s="2" t="s">
        <v>8</v>
      </c>
      <c r="C5" s="2" t="s">
        <v>9</v>
      </c>
    </row>
    <row r="6" spans="1:19" x14ac:dyDescent="0.2">
      <c r="B6" s="2" t="s">
        <v>17</v>
      </c>
      <c r="C6" s="25">
        <v>2</v>
      </c>
    </row>
    <row r="7" spans="1:19" x14ac:dyDescent="0.2">
      <c r="B7" s="2" t="s">
        <v>166</v>
      </c>
      <c r="C7" s="25" t="s">
        <v>5</v>
      </c>
    </row>
    <row r="8" spans="1:19" x14ac:dyDescent="0.2">
      <c r="A8" s="4" t="s">
        <v>21</v>
      </c>
      <c r="B8" s="2" t="s">
        <v>191</v>
      </c>
      <c r="C8" s="25" t="s">
        <v>192</v>
      </c>
    </row>
    <row r="9" spans="1:19" x14ac:dyDescent="0.2">
      <c r="B9" s="2" t="s">
        <v>193</v>
      </c>
      <c r="C9" s="25" t="s">
        <v>92</v>
      </c>
    </row>
    <row r="10" spans="1:19" x14ac:dyDescent="0.2">
      <c r="C10" s="25"/>
    </row>
    <row r="11" spans="1:19" x14ac:dyDescent="0.2">
      <c r="B11" s="2" t="s">
        <v>135</v>
      </c>
      <c r="C11" s="25" t="s">
        <v>14</v>
      </c>
    </row>
    <row r="12" spans="1:19" x14ac:dyDescent="0.2">
      <c r="B12" s="2" t="s">
        <v>133</v>
      </c>
      <c r="C12" s="25" t="s">
        <v>68</v>
      </c>
    </row>
    <row r="13" spans="1:19" x14ac:dyDescent="0.2">
      <c r="B13" s="2" t="s">
        <v>136</v>
      </c>
      <c r="C13" s="28">
        <v>1.1000000000000001</v>
      </c>
    </row>
    <row r="14" spans="1:19" x14ac:dyDescent="0.2">
      <c r="B14" s="2" t="s">
        <v>137</v>
      </c>
      <c r="C14" s="94">
        <v>0</v>
      </c>
    </row>
    <row r="15" spans="1:19" x14ac:dyDescent="0.2">
      <c r="C15" s="28"/>
    </row>
    <row r="16" spans="1:19" x14ac:dyDescent="0.2">
      <c r="B16" s="2" t="s">
        <v>167</v>
      </c>
      <c r="C16" s="108">
        <v>100</v>
      </c>
    </row>
    <row r="17" spans="1:19" x14ac:dyDescent="0.2">
      <c r="B17" s="2" t="s">
        <v>139</v>
      </c>
      <c r="C17" s="25">
        <v>0</v>
      </c>
    </row>
    <row r="18" spans="1:19" s="6" customFormat="1" x14ac:dyDescent="0.2">
      <c r="A18" s="5"/>
      <c r="B18" s="6" t="s">
        <v>138</v>
      </c>
      <c r="C18" s="27">
        <v>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9" x14ac:dyDescent="0.2">
      <c r="B19" s="2" t="s">
        <v>149</v>
      </c>
      <c r="C19" s="25">
        <v>0</v>
      </c>
    </row>
    <row r="20" spans="1:19" x14ac:dyDescent="0.2">
      <c r="B20" s="2" t="s">
        <v>150</v>
      </c>
      <c r="C20" s="25">
        <v>0</v>
      </c>
    </row>
    <row r="21" spans="1:19" x14ac:dyDescent="0.2">
      <c r="A21" s="2"/>
      <c r="B21" s="2" t="s">
        <v>151</v>
      </c>
      <c r="C21" s="25" t="s">
        <v>168</v>
      </c>
      <c r="D21" s="3"/>
      <c r="F21" s="2"/>
      <c r="G21" s="2"/>
      <c r="H21" s="2"/>
      <c r="I21" s="2"/>
      <c r="J21" s="2"/>
      <c r="K21" s="2"/>
      <c r="L21" s="2"/>
      <c r="M21" s="2"/>
      <c r="Q21" s="2"/>
      <c r="R21" s="2"/>
    </row>
    <row r="22" spans="1:19" x14ac:dyDescent="0.2">
      <c r="A22" s="2"/>
      <c r="C22" s="25"/>
      <c r="D22" s="3"/>
      <c r="F22" s="2"/>
      <c r="G22" s="2"/>
      <c r="H22" s="2"/>
      <c r="I22" s="2"/>
      <c r="J22" s="2"/>
      <c r="K22" s="2"/>
      <c r="L22" s="2"/>
      <c r="M22" s="2"/>
      <c r="Q22" s="2"/>
      <c r="R22" s="2"/>
    </row>
    <row r="23" spans="1:19" x14ac:dyDescent="0.2">
      <c r="A23" s="2"/>
      <c r="B23" s="8" t="s">
        <v>152</v>
      </c>
      <c r="C23" s="25" t="s">
        <v>24</v>
      </c>
      <c r="D23" s="3"/>
      <c r="Q23" s="2"/>
      <c r="R23" s="2"/>
    </row>
    <row r="24" spans="1:19" x14ac:dyDescent="0.2">
      <c r="A24" s="2"/>
      <c r="B24" s="8" t="s">
        <v>153</v>
      </c>
      <c r="C24" s="25" t="s">
        <v>92</v>
      </c>
      <c r="D24" s="26"/>
      <c r="Q24" s="2"/>
      <c r="R24" s="2"/>
    </row>
    <row r="25" spans="1:19" s="33" customFormat="1" x14ac:dyDescent="0.2">
      <c r="A25" s="109"/>
      <c r="B25" s="47" t="s">
        <v>178</v>
      </c>
      <c r="C25" s="27" t="s">
        <v>92</v>
      </c>
      <c r="D25" s="110" t="s">
        <v>179</v>
      </c>
      <c r="Q25" s="111"/>
      <c r="R25" s="111"/>
      <c r="S25" s="111"/>
    </row>
    <row r="26" spans="1:19" x14ac:dyDescent="0.2">
      <c r="A26" s="2"/>
      <c r="B26" s="2" t="s">
        <v>154</v>
      </c>
      <c r="C26" s="25" t="s">
        <v>14</v>
      </c>
      <c r="D26" s="3"/>
      <c r="Q26" s="2"/>
      <c r="R26" s="2"/>
    </row>
    <row r="27" spans="1:19" x14ac:dyDescent="0.2">
      <c r="A27" s="2"/>
      <c r="B27" s="2" t="s">
        <v>155</v>
      </c>
      <c r="C27" s="25" t="s">
        <v>14</v>
      </c>
      <c r="D27" s="3"/>
      <c r="Q27" s="2"/>
      <c r="R27" s="2"/>
    </row>
    <row r="28" spans="1:19" x14ac:dyDescent="0.2">
      <c r="A28" s="2"/>
      <c r="C28" s="25"/>
      <c r="D28" s="3"/>
      <c r="Q28" s="2"/>
      <c r="R28" s="2"/>
    </row>
    <row r="29" spans="1:19" x14ac:dyDescent="0.2">
      <c r="A29" s="2"/>
      <c r="B29" s="2" t="s">
        <v>16</v>
      </c>
      <c r="C29" s="25" t="s">
        <v>24</v>
      </c>
      <c r="D29" s="3"/>
      <c r="E29" s="3"/>
      <c r="Q29" s="2"/>
      <c r="R29" s="2"/>
    </row>
    <row r="30" spans="1:19" x14ac:dyDescent="0.2">
      <c r="A30" s="2"/>
      <c r="B30" s="2" t="s">
        <v>25</v>
      </c>
      <c r="C30" s="25">
        <v>30</v>
      </c>
      <c r="D30" s="3"/>
      <c r="Q30" s="2"/>
      <c r="R30" s="2"/>
    </row>
    <row r="31" spans="1:19" x14ac:dyDescent="0.2">
      <c r="A31" s="2"/>
      <c r="B31" s="2" t="s">
        <v>195</v>
      </c>
      <c r="C31" s="25">
        <v>30</v>
      </c>
      <c r="D31" s="3"/>
      <c r="Q31" s="2"/>
      <c r="R31" s="2"/>
    </row>
    <row r="32" spans="1:19" x14ac:dyDescent="0.2">
      <c r="A32" s="2"/>
      <c r="B32" s="2" t="s">
        <v>190</v>
      </c>
      <c r="C32" s="25">
        <v>1</v>
      </c>
      <c r="D32" s="3"/>
      <c r="Q32" s="2"/>
      <c r="R32" s="2"/>
    </row>
    <row r="33" spans="1:19" x14ac:dyDescent="0.2">
      <c r="A33" s="2"/>
      <c r="C33" s="25"/>
      <c r="Q33" s="2"/>
      <c r="R33" s="2"/>
    </row>
    <row r="34" spans="1:19" x14ac:dyDescent="0.2">
      <c r="A34" s="2"/>
      <c r="B34" s="2" t="s">
        <v>156</v>
      </c>
      <c r="C34" s="28" t="s">
        <v>24</v>
      </c>
      <c r="F34" s="2"/>
      <c r="G34" s="2"/>
      <c r="H34" s="2"/>
      <c r="I34" s="2"/>
      <c r="J34" s="2"/>
      <c r="K34" s="2"/>
      <c r="L34" s="2"/>
      <c r="M34" s="2"/>
      <c r="Q34" s="2"/>
      <c r="R34" s="2"/>
    </row>
    <row r="35" spans="1:19" x14ac:dyDescent="0.2">
      <c r="A35" s="2"/>
      <c r="B35" s="2" t="s">
        <v>157</v>
      </c>
      <c r="C35" s="28">
        <v>-0.1</v>
      </c>
      <c r="F35" s="2"/>
      <c r="G35" s="2"/>
      <c r="H35" s="2"/>
      <c r="I35" s="2"/>
      <c r="J35" s="2"/>
      <c r="K35" s="2"/>
      <c r="L35" s="2"/>
      <c r="M35" s="2"/>
      <c r="Q35" s="2"/>
      <c r="R35" s="2"/>
    </row>
    <row r="36" spans="1:19" x14ac:dyDescent="0.2">
      <c r="A36" s="2"/>
      <c r="B36" s="2" t="s">
        <v>158</v>
      </c>
      <c r="C36" s="25" t="s">
        <v>92</v>
      </c>
      <c r="Q36" s="2"/>
      <c r="R36" s="2"/>
    </row>
    <row r="37" spans="1:19" x14ac:dyDescent="0.2">
      <c r="B37" s="8"/>
      <c r="C37" s="25"/>
      <c r="Q37" s="2"/>
      <c r="S37" s="1"/>
    </row>
    <row r="38" spans="1:19" s="9" customFormat="1" ht="51" x14ac:dyDescent="0.2">
      <c r="A38" s="9" t="s">
        <v>15</v>
      </c>
      <c r="B38" s="9" t="s">
        <v>10</v>
      </c>
      <c r="C38" s="30" t="s">
        <v>11</v>
      </c>
      <c r="D38" s="17" t="s">
        <v>12</v>
      </c>
      <c r="E38" s="1" t="s">
        <v>27</v>
      </c>
      <c r="F38" s="29" t="s">
        <v>133</v>
      </c>
      <c r="G38" s="22" t="s">
        <v>135</v>
      </c>
      <c r="H38" s="29" t="s">
        <v>136</v>
      </c>
      <c r="I38" s="29" t="s">
        <v>137</v>
      </c>
      <c r="J38" s="29" t="s">
        <v>139</v>
      </c>
      <c r="K38" s="29" t="s">
        <v>140</v>
      </c>
      <c r="L38" s="29" t="s">
        <v>141</v>
      </c>
      <c r="M38" s="29" t="s">
        <v>142</v>
      </c>
      <c r="N38" s="30" t="s">
        <v>143</v>
      </c>
      <c r="O38" s="30" t="s">
        <v>145</v>
      </c>
      <c r="P38" s="30" t="s">
        <v>146</v>
      </c>
      <c r="Q38" s="30" t="s">
        <v>147</v>
      </c>
      <c r="R38" s="30" t="s">
        <v>148</v>
      </c>
      <c r="S38" s="30" t="s">
        <v>25</v>
      </c>
    </row>
    <row r="39" spans="1:19" s="12" customFormat="1" ht="26.25" x14ac:dyDescent="0.25">
      <c r="A39" s="10" t="s">
        <v>21</v>
      </c>
      <c r="B39" s="11" t="s">
        <v>71</v>
      </c>
      <c r="C39" s="18" t="s">
        <v>13</v>
      </c>
      <c r="D39" s="18" t="s">
        <v>13</v>
      </c>
      <c r="E39" s="18" t="s">
        <v>28</v>
      </c>
      <c r="F39" s="19" t="s">
        <v>85</v>
      </c>
      <c r="G39" s="19" t="s">
        <v>26</v>
      </c>
      <c r="H39" s="19" t="s">
        <v>18</v>
      </c>
      <c r="I39" s="19" t="s">
        <v>20</v>
      </c>
      <c r="J39" s="19"/>
      <c r="K39" s="19" t="s">
        <v>37</v>
      </c>
      <c r="L39" s="19"/>
      <c r="M39" s="19"/>
      <c r="N39" s="18" t="s">
        <v>59</v>
      </c>
      <c r="O39" s="18" t="s">
        <v>22</v>
      </c>
      <c r="P39" s="18" t="s">
        <v>22</v>
      </c>
      <c r="Q39" s="18" t="s">
        <v>23</v>
      </c>
      <c r="R39" s="18" t="s">
        <v>23</v>
      </c>
      <c r="S39" s="18"/>
    </row>
    <row r="40" spans="1:19" ht="14.25" x14ac:dyDescent="0.25">
      <c r="A40" s="10"/>
      <c r="B40" s="67" t="s">
        <v>95</v>
      </c>
      <c r="C40" s="62">
        <v>2</v>
      </c>
      <c r="D40" s="62">
        <f>IF(A40="//","0",0)</f>
        <v>0</v>
      </c>
      <c r="E40" s="55" t="s">
        <v>104</v>
      </c>
      <c r="F40" s="62" t="s">
        <v>68</v>
      </c>
      <c r="G40" s="63" t="s">
        <v>24</v>
      </c>
      <c r="H40" s="64">
        <v>0.85</v>
      </c>
      <c r="I40" s="65">
        <v>0</v>
      </c>
      <c r="J40" s="66">
        <v>0</v>
      </c>
      <c r="K40" s="65">
        <v>1</v>
      </c>
      <c r="L40" s="65">
        <v>1.5</v>
      </c>
      <c r="M40" s="65">
        <v>2</v>
      </c>
      <c r="N40" s="62">
        <v>80</v>
      </c>
      <c r="O40" s="62">
        <v>32</v>
      </c>
      <c r="P40" s="62">
        <v>32</v>
      </c>
      <c r="Q40" s="62">
        <v>150</v>
      </c>
      <c r="R40" s="62">
        <v>150</v>
      </c>
      <c r="S40" s="62">
        <v>10</v>
      </c>
    </row>
    <row r="41" spans="1:19" x14ac:dyDescent="0.2">
      <c r="B41" s="67" t="s">
        <v>64</v>
      </c>
      <c r="C41" s="62">
        <v>90</v>
      </c>
      <c r="D41" s="62">
        <f>IF(A41="//","0",0)</f>
        <v>0</v>
      </c>
      <c r="E41" s="103" t="s">
        <v>63</v>
      </c>
      <c r="F41" s="62" t="s">
        <v>68</v>
      </c>
      <c r="G41" s="63" t="s">
        <v>14</v>
      </c>
      <c r="H41" s="64">
        <v>1.1000000000000001</v>
      </c>
      <c r="I41" s="65">
        <v>0</v>
      </c>
      <c r="J41" s="66">
        <v>0</v>
      </c>
      <c r="K41" s="65">
        <v>0.2</v>
      </c>
      <c r="L41" s="65">
        <v>1.5</v>
      </c>
      <c r="M41" s="65">
        <v>2</v>
      </c>
      <c r="N41" s="62">
        <v>80</v>
      </c>
      <c r="O41" s="62">
        <v>32</v>
      </c>
      <c r="P41" s="62">
        <v>32</v>
      </c>
      <c r="Q41" s="62">
        <v>150</v>
      </c>
      <c r="R41" s="62">
        <v>150</v>
      </c>
      <c r="S41" s="62">
        <v>10</v>
      </c>
    </row>
    <row r="42" spans="1:19" ht="13.5" x14ac:dyDescent="0.25">
      <c r="A42" s="10" t="s">
        <v>21</v>
      </c>
      <c r="B42" s="67" t="s">
        <v>124</v>
      </c>
      <c r="C42" s="62">
        <v>2</v>
      </c>
      <c r="D42" s="62">
        <v>0</v>
      </c>
      <c r="E42" s="95" t="s">
        <v>122</v>
      </c>
      <c r="F42" s="62" t="s">
        <v>90</v>
      </c>
      <c r="G42" s="63" t="s">
        <v>14</v>
      </c>
      <c r="H42" s="64">
        <v>1.1000000000000001</v>
      </c>
      <c r="I42" s="65">
        <v>0</v>
      </c>
      <c r="J42" s="66">
        <v>0</v>
      </c>
      <c r="K42" s="65">
        <v>0.6</v>
      </c>
      <c r="L42" s="65">
        <v>1.5</v>
      </c>
      <c r="M42" s="65">
        <v>0</v>
      </c>
      <c r="N42" s="62">
        <v>80</v>
      </c>
      <c r="O42" s="62">
        <v>32</v>
      </c>
      <c r="P42" s="62">
        <v>32</v>
      </c>
      <c r="Q42" s="62">
        <v>150</v>
      </c>
      <c r="R42" s="62">
        <v>150</v>
      </c>
      <c r="S42" s="62">
        <v>5</v>
      </c>
    </row>
    <row r="43" spans="1:19" ht="13.5" x14ac:dyDescent="0.25">
      <c r="A43" s="10"/>
      <c r="B43" s="68" t="str">
        <f t="shared" ref="B43:B49" si="0">"SS-FCPM - "&amp;FIXED(I43,2)&amp;" A/cm²"</f>
        <v>SS-FCPM - 0.05 A/cm²</v>
      </c>
      <c r="C43" s="62">
        <v>5</v>
      </c>
      <c r="D43" s="62">
        <v>5</v>
      </c>
      <c r="E43" s="61" t="s">
        <v>47</v>
      </c>
      <c r="F43" s="62" t="s">
        <v>69</v>
      </c>
      <c r="G43" s="63" t="s">
        <v>24</v>
      </c>
      <c r="H43" s="64">
        <v>1.1000000000000001</v>
      </c>
      <c r="I43" s="65">
        <v>0.05</v>
      </c>
      <c r="J43" s="66">
        <v>0</v>
      </c>
      <c r="K43" s="65">
        <v>0.2</v>
      </c>
      <c r="L43" s="65">
        <v>1.5</v>
      </c>
      <c r="M43" s="65">
        <v>2</v>
      </c>
      <c r="N43" s="62">
        <v>80</v>
      </c>
      <c r="O43" s="62">
        <v>32</v>
      </c>
      <c r="P43" s="62">
        <v>32</v>
      </c>
      <c r="Q43" s="62">
        <v>150</v>
      </c>
      <c r="R43" s="62">
        <v>150</v>
      </c>
      <c r="S43" s="62">
        <v>10</v>
      </c>
    </row>
    <row r="44" spans="1:19" ht="13.5" x14ac:dyDescent="0.25">
      <c r="A44" s="10"/>
      <c r="B44" s="68" t="str">
        <f t="shared" si="0"/>
        <v>SS-FCPM - 0.20 A/cm²</v>
      </c>
      <c r="C44" s="62">
        <v>5</v>
      </c>
      <c r="D44" s="62">
        <v>5</v>
      </c>
      <c r="E44" s="61" t="s">
        <v>47</v>
      </c>
      <c r="F44" s="62"/>
      <c r="G44" s="63"/>
      <c r="H44" s="64"/>
      <c r="I44" s="65">
        <v>0.2</v>
      </c>
      <c r="J44" s="66"/>
      <c r="K44" s="65"/>
      <c r="L44" s="65"/>
      <c r="M44" s="65"/>
      <c r="N44" s="62"/>
      <c r="O44" s="62"/>
      <c r="P44" s="62"/>
      <c r="Q44" s="62"/>
      <c r="R44" s="62"/>
      <c r="S44" s="62"/>
    </row>
    <row r="45" spans="1:19" ht="13.5" x14ac:dyDescent="0.25">
      <c r="A45" s="10"/>
      <c r="B45" s="68" t="str">
        <f t="shared" si="0"/>
        <v>SS-FCPM - 0.40 A/cm²</v>
      </c>
      <c r="C45" s="62">
        <v>5</v>
      </c>
      <c r="D45" s="62">
        <v>5</v>
      </c>
      <c r="E45" s="61" t="s">
        <v>47</v>
      </c>
      <c r="F45" s="62"/>
      <c r="G45" s="63"/>
      <c r="H45" s="64"/>
      <c r="I45" s="65">
        <v>0.4</v>
      </c>
      <c r="J45" s="66"/>
      <c r="K45" s="65">
        <v>0.4</v>
      </c>
      <c r="L45" s="65"/>
      <c r="M45" s="65"/>
      <c r="N45" s="62"/>
      <c r="O45" s="62"/>
      <c r="P45" s="62"/>
      <c r="Q45" s="62"/>
      <c r="R45" s="62"/>
      <c r="S45" s="62"/>
    </row>
    <row r="46" spans="1:19" ht="13.5" x14ac:dyDescent="0.25">
      <c r="A46" s="10"/>
      <c r="B46" s="68" t="str">
        <f t="shared" si="0"/>
        <v>SS-FCPM - 0.80 A/cm²</v>
      </c>
      <c r="C46" s="62">
        <v>5</v>
      </c>
      <c r="D46" s="62">
        <v>5</v>
      </c>
      <c r="E46" s="61" t="s">
        <v>47</v>
      </c>
      <c r="F46" s="62"/>
      <c r="G46" s="63"/>
      <c r="H46" s="64"/>
      <c r="I46" s="65">
        <v>0.8</v>
      </c>
      <c r="J46" s="66"/>
      <c r="K46" s="65">
        <v>0.8</v>
      </c>
      <c r="L46" s="65"/>
      <c r="M46" s="65"/>
      <c r="N46" s="62"/>
      <c r="O46" s="62"/>
      <c r="P46" s="62"/>
      <c r="Q46" s="62"/>
      <c r="R46" s="62"/>
      <c r="S46" s="62"/>
    </row>
    <row r="47" spans="1:19" ht="13.5" x14ac:dyDescent="0.25">
      <c r="A47" s="10"/>
      <c r="B47" s="68" t="str">
        <f t="shared" si="0"/>
        <v>SS-FCPM - 1.00 A/cm²</v>
      </c>
      <c r="C47" s="62">
        <v>5</v>
      </c>
      <c r="D47" s="62">
        <v>5</v>
      </c>
      <c r="E47" s="61" t="s">
        <v>47</v>
      </c>
      <c r="F47" s="62"/>
      <c r="G47" s="63"/>
      <c r="H47" s="64"/>
      <c r="I47" s="65">
        <v>1</v>
      </c>
      <c r="J47" s="66"/>
      <c r="K47" s="65">
        <v>1</v>
      </c>
      <c r="L47" s="65"/>
      <c r="M47" s="65"/>
      <c r="N47" s="62"/>
      <c r="O47" s="62"/>
      <c r="P47" s="62"/>
      <c r="Q47" s="62"/>
      <c r="R47" s="62"/>
      <c r="S47" s="62"/>
    </row>
    <row r="48" spans="1:19" ht="13.5" x14ac:dyDescent="0.25">
      <c r="A48" s="10"/>
      <c r="B48" s="68" t="str">
        <f t="shared" si="0"/>
        <v>SS-FCPM - 1.20 A/cm²</v>
      </c>
      <c r="C48" s="62">
        <v>5</v>
      </c>
      <c r="D48" s="62">
        <v>5</v>
      </c>
      <c r="E48" s="61" t="s">
        <v>47</v>
      </c>
      <c r="F48" s="62"/>
      <c r="G48" s="63"/>
      <c r="H48" s="64"/>
      <c r="I48" s="65">
        <v>1.2</v>
      </c>
      <c r="J48" s="66"/>
      <c r="K48" s="65">
        <v>1.2</v>
      </c>
      <c r="L48" s="65"/>
      <c r="M48" s="65"/>
      <c r="N48" s="62"/>
      <c r="O48" s="62"/>
      <c r="P48" s="62"/>
      <c r="Q48" s="62"/>
      <c r="R48" s="62"/>
      <c r="S48" s="62"/>
    </row>
    <row r="49" spans="1:19" ht="13.5" x14ac:dyDescent="0.25">
      <c r="A49" s="10"/>
      <c r="B49" s="68" t="str">
        <f t="shared" si="0"/>
        <v>SS-FCPM - 1.50 A/cm²</v>
      </c>
      <c r="C49" s="62">
        <v>5</v>
      </c>
      <c r="D49" s="62">
        <v>5</v>
      </c>
      <c r="E49" s="61" t="s">
        <v>47</v>
      </c>
      <c r="F49" s="62"/>
      <c r="G49" s="63"/>
      <c r="H49" s="64"/>
      <c r="I49" s="65">
        <v>1.5</v>
      </c>
      <c r="J49" s="66"/>
      <c r="K49" s="65">
        <v>1.5</v>
      </c>
      <c r="L49" s="65"/>
      <c r="M49" s="65"/>
      <c r="N49" s="62"/>
      <c r="O49" s="62"/>
      <c r="P49" s="62"/>
      <c r="Q49" s="62"/>
      <c r="R49" s="62"/>
      <c r="S49" s="62"/>
    </row>
    <row r="50" spans="1:19" s="6" customFormat="1" x14ac:dyDescent="0.2">
      <c r="A50" s="5"/>
      <c r="E50" s="93"/>
      <c r="Q50" s="22"/>
      <c r="R50" s="22"/>
    </row>
    <row r="51" spans="1:19" x14ac:dyDescent="0.2">
      <c r="A51" s="4" t="s">
        <v>30</v>
      </c>
      <c r="B51" s="52" t="s">
        <v>31</v>
      </c>
      <c r="C51" s="69" t="s">
        <v>104</v>
      </c>
    </row>
    <row r="52" spans="1:19" x14ac:dyDescent="0.2">
      <c r="B52" s="53" t="s">
        <v>8</v>
      </c>
      <c r="C52" s="53" t="s">
        <v>96</v>
      </c>
    </row>
    <row r="53" spans="1:19" x14ac:dyDescent="0.2">
      <c r="B53" s="53" t="s">
        <v>45</v>
      </c>
      <c r="C53" s="53" t="s">
        <v>33</v>
      </c>
    </row>
    <row r="54" spans="1:19" x14ac:dyDescent="0.2">
      <c r="A54" s="2"/>
      <c r="B54" s="53" t="s">
        <v>17</v>
      </c>
      <c r="C54" s="53">
        <v>1800</v>
      </c>
      <c r="F54" s="2"/>
      <c r="G54" s="2"/>
      <c r="H54" s="2"/>
      <c r="I54" s="2"/>
      <c r="J54" s="2"/>
      <c r="K54" s="2"/>
      <c r="L54" s="2"/>
      <c r="M54" s="2"/>
      <c r="Q54" s="2"/>
      <c r="R54" s="2"/>
    </row>
    <row r="55" spans="1:19" x14ac:dyDescent="0.2">
      <c r="A55" s="2"/>
      <c r="B55" s="53" t="s">
        <v>34</v>
      </c>
      <c r="C55" s="53" t="s">
        <v>97</v>
      </c>
      <c r="F55" s="2"/>
      <c r="G55" s="2"/>
      <c r="H55" s="2"/>
      <c r="I55" s="2"/>
      <c r="J55" s="2"/>
      <c r="K55" s="2"/>
      <c r="L55" s="2"/>
      <c r="M55" s="2"/>
      <c r="Q55" s="2"/>
      <c r="R55" s="2"/>
    </row>
    <row r="56" spans="1:19" x14ac:dyDescent="0.2">
      <c r="A56" s="2"/>
      <c r="B56" s="53" t="s">
        <v>98</v>
      </c>
      <c r="C56" s="54" t="s">
        <v>161</v>
      </c>
      <c r="F56" s="2"/>
      <c r="G56" s="2"/>
      <c r="H56" s="2"/>
      <c r="I56" s="2"/>
      <c r="J56" s="2"/>
      <c r="K56" s="2"/>
      <c r="L56" s="2"/>
      <c r="M56" s="2"/>
      <c r="Q56" s="2"/>
      <c r="R56" s="2"/>
    </row>
    <row r="57" spans="1:19" x14ac:dyDescent="0.2">
      <c r="A57" s="2"/>
      <c r="B57" s="53" t="s">
        <v>99</v>
      </c>
      <c r="C57" s="54" t="s">
        <v>144</v>
      </c>
      <c r="F57" s="2"/>
      <c r="G57" s="2"/>
      <c r="H57" s="2"/>
      <c r="I57" s="2"/>
      <c r="J57" s="2"/>
      <c r="K57" s="2"/>
      <c r="L57" s="2"/>
      <c r="M57" s="2"/>
      <c r="Q57" s="2"/>
      <c r="R57" s="2"/>
    </row>
    <row r="58" spans="1:19" x14ac:dyDescent="0.2">
      <c r="A58" s="2"/>
      <c r="B58" s="53" t="s">
        <v>100</v>
      </c>
      <c r="C58" s="53">
        <v>0.2</v>
      </c>
      <c r="F58" s="2"/>
      <c r="G58" s="2"/>
      <c r="H58" s="2"/>
      <c r="I58" s="2"/>
      <c r="J58" s="2"/>
      <c r="K58" s="2"/>
      <c r="L58" s="2"/>
      <c r="M58" s="2"/>
      <c r="Q58" s="2"/>
      <c r="R58" s="2"/>
    </row>
    <row r="59" spans="1:19" x14ac:dyDescent="0.2">
      <c r="A59" s="2"/>
      <c r="B59" s="53" t="s">
        <v>101</v>
      </c>
      <c r="C59" s="53">
        <v>60</v>
      </c>
      <c r="F59" s="2"/>
      <c r="G59" s="2"/>
      <c r="H59" s="2"/>
      <c r="I59" s="2"/>
      <c r="J59" s="2"/>
      <c r="K59" s="2"/>
      <c r="L59" s="2"/>
      <c r="M59" s="2"/>
      <c r="Q59" s="2"/>
      <c r="R59" s="2"/>
    </row>
    <row r="60" spans="1:19" x14ac:dyDescent="0.2">
      <c r="A60" s="2"/>
      <c r="B60" s="53" t="s">
        <v>34</v>
      </c>
      <c r="C60" s="53" t="s">
        <v>97</v>
      </c>
      <c r="F60" s="2"/>
      <c r="G60" s="2"/>
      <c r="H60" s="2"/>
      <c r="I60" s="2"/>
      <c r="J60" s="2"/>
      <c r="K60" s="2"/>
      <c r="L60" s="2"/>
      <c r="M60" s="2"/>
      <c r="Q60" s="2"/>
      <c r="R60" s="2"/>
    </row>
    <row r="61" spans="1:19" x14ac:dyDescent="0.2">
      <c r="A61" s="2"/>
      <c r="B61" s="53" t="s">
        <v>98</v>
      </c>
      <c r="C61" s="54" t="s">
        <v>162</v>
      </c>
      <c r="F61" s="2"/>
      <c r="G61" s="2"/>
      <c r="H61" s="2"/>
      <c r="I61" s="2"/>
      <c r="J61" s="2"/>
      <c r="K61" s="2"/>
      <c r="L61" s="2"/>
      <c r="M61" s="2"/>
      <c r="Q61" s="2"/>
      <c r="R61" s="2"/>
    </row>
    <row r="62" spans="1:19" x14ac:dyDescent="0.2">
      <c r="A62" s="2"/>
      <c r="B62" s="53" t="s">
        <v>99</v>
      </c>
      <c r="C62" s="54" t="s">
        <v>159</v>
      </c>
      <c r="F62" s="2"/>
      <c r="G62" s="2"/>
      <c r="H62" s="2"/>
      <c r="I62" s="2"/>
      <c r="J62" s="2"/>
      <c r="K62" s="2"/>
      <c r="L62" s="2"/>
      <c r="M62" s="2"/>
      <c r="Q62" s="2"/>
      <c r="R62" s="2"/>
    </row>
    <row r="63" spans="1:19" x14ac:dyDescent="0.2">
      <c r="A63" s="2"/>
      <c r="B63" s="53" t="s">
        <v>100</v>
      </c>
      <c r="C63" s="53">
        <v>0.2</v>
      </c>
      <c r="F63" s="2"/>
      <c r="G63" s="2"/>
      <c r="H63" s="2"/>
      <c r="I63" s="2"/>
      <c r="J63" s="2"/>
      <c r="K63" s="2"/>
      <c r="L63" s="2"/>
      <c r="M63" s="2"/>
      <c r="Q63" s="2"/>
      <c r="R63" s="2"/>
    </row>
    <row r="64" spans="1:19" x14ac:dyDescent="0.2">
      <c r="A64" s="2"/>
      <c r="B64" s="53" t="s">
        <v>101</v>
      </c>
      <c r="C64" s="53">
        <v>60</v>
      </c>
      <c r="F64" s="2"/>
      <c r="G64" s="2"/>
      <c r="H64" s="2"/>
      <c r="I64" s="2"/>
      <c r="J64" s="2"/>
      <c r="K64" s="2"/>
      <c r="L64" s="2"/>
      <c r="M64" s="2"/>
      <c r="Q64" s="2"/>
      <c r="R64" s="2"/>
    </row>
    <row r="65" spans="1:18" x14ac:dyDescent="0.2">
      <c r="A65" s="2"/>
      <c r="B65" s="53" t="s">
        <v>34</v>
      </c>
      <c r="C65" s="53" t="s">
        <v>97</v>
      </c>
      <c r="F65" s="2"/>
      <c r="G65" s="2"/>
      <c r="H65" s="2"/>
      <c r="I65" s="2"/>
      <c r="J65" s="2"/>
      <c r="K65" s="2"/>
      <c r="L65" s="2"/>
      <c r="M65" s="2"/>
      <c r="Q65" s="2"/>
      <c r="R65" s="2"/>
    </row>
    <row r="66" spans="1:18" x14ac:dyDescent="0.2">
      <c r="A66" s="2"/>
      <c r="B66" s="53" t="s">
        <v>98</v>
      </c>
      <c r="C66" s="54" t="s">
        <v>163</v>
      </c>
      <c r="F66" s="2"/>
      <c r="G66" s="2"/>
      <c r="H66" s="2"/>
      <c r="I66" s="2"/>
      <c r="J66" s="2"/>
      <c r="K66" s="2"/>
      <c r="L66" s="2"/>
      <c r="M66" s="2"/>
      <c r="Q66" s="2"/>
      <c r="R66" s="2"/>
    </row>
    <row r="67" spans="1:18" x14ac:dyDescent="0.2">
      <c r="A67" s="2"/>
      <c r="B67" s="53" t="s">
        <v>99</v>
      </c>
      <c r="C67" s="54" t="s">
        <v>160</v>
      </c>
      <c r="F67" s="2"/>
      <c r="G67" s="2"/>
      <c r="H67" s="2"/>
      <c r="I67" s="2"/>
      <c r="J67" s="2"/>
      <c r="K67" s="2"/>
      <c r="L67" s="2"/>
      <c r="M67" s="2"/>
      <c r="Q67" s="2"/>
      <c r="R67" s="2"/>
    </row>
    <row r="68" spans="1:18" x14ac:dyDescent="0.2">
      <c r="A68" s="2"/>
      <c r="B68" s="53" t="s">
        <v>100</v>
      </c>
      <c r="C68" s="53">
        <v>0.2</v>
      </c>
      <c r="F68" s="2"/>
      <c r="G68" s="2"/>
      <c r="H68" s="2"/>
      <c r="I68" s="2"/>
      <c r="J68" s="2"/>
      <c r="K68" s="2"/>
      <c r="L68" s="2"/>
      <c r="M68" s="2"/>
      <c r="Q68" s="2"/>
      <c r="R68" s="2"/>
    </row>
    <row r="69" spans="1:18" x14ac:dyDescent="0.2">
      <c r="A69" s="2"/>
      <c r="B69" s="53" t="s">
        <v>101</v>
      </c>
      <c r="C69" s="53">
        <v>60</v>
      </c>
      <c r="F69" s="2"/>
      <c r="G69" s="2"/>
      <c r="H69" s="2"/>
      <c r="I69" s="2"/>
      <c r="J69" s="2"/>
      <c r="K69" s="2"/>
      <c r="L69" s="2"/>
      <c r="M69" s="2"/>
      <c r="Q69" s="2"/>
      <c r="R69" s="2"/>
    </row>
    <row r="71" spans="1:18" x14ac:dyDescent="0.2">
      <c r="A71" s="4" t="s">
        <v>30</v>
      </c>
      <c r="B71" s="92" t="s">
        <v>31</v>
      </c>
      <c r="C71" s="104" t="s">
        <v>63</v>
      </c>
      <c r="F71" s="2"/>
      <c r="G71" s="2"/>
      <c r="H71" s="2"/>
      <c r="I71" s="2"/>
      <c r="J71" s="2"/>
      <c r="K71" s="2"/>
      <c r="L71" s="2"/>
      <c r="M71" s="2"/>
    </row>
    <row r="72" spans="1:18" x14ac:dyDescent="0.2">
      <c r="B72" s="92"/>
      <c r="C72" s="104"/>
      <c r="F72" s="2"/>
      <c r="G72" s="2"/>
      <c r="H72" s="2"/>
      <c r="I72" s="2"/>
      <c r="J72" s="2"/>
      <c r="K72" s="2"/>
      <c r="L72" s="2"/>
      <c r="M72" s="2"/>
    </row>
    <row r="73" spans="1:18" x14ac:dyDescent="0.2">
      <c r="A73" s="2"/>
      <c r="B73" s="104" t="s">
        <v>8</v>
      </c>
      <c r="C73" s="105" t="s">
        <v>9</v>
      </c>
      <c r="F73" s="2"/>
      <c r="G73" s="2"/>
      <c r="H73" s="2"/>
      <c r="I73" s="2"/>
      <c r="J73" s="2"/>
      <c r="K73" s="2"/>
      <c r="L73" s="2"/>
      <c r="M73" s="2"/>
    </row>
    <row r="74" spans="1:18" x14ac:dyDescent="0.2">
      <c r="A74" s="2"/>
      <c r="B74" s="104" t="s">
        <v>17</v>
      </c>
      <c r="C74" s="105">
        <v>60</v>
      </c>
      <c r="F74" s="2"/>
      <c r="G74" s="2"/>
      <c r="H74" s="2"/>
      <c r="I74" s="2"/>
      <c r="J74" s="2"/>
      <c r="K74" s="2"/>
      <c r="L74" s="2"/>
      <c r="M74" s="2"/>
    </row>
    <row r="75" spans="1:18" x14ac:dyDescent="0.2">
      <c r="B75" s="106" t="s">
        <v>25</v>
      </c>
      <c r="C75" s="105">
        <v>1</v>
      </c>
      <c r="F75" s="2"/>
      <c r="G75" s="2"/>
      <c r="H75" s="2"/>
      <c r="I75" s="2"/>
      <c r="J75" s="2"/>
      <c r="K75" s="2"/>
      <c r="L75" s="2"/>
      <c r="M75" s="2"/>
    </row>
    <row r="76" spans="1:18" x14ac:dyDescent="0.2">
      <c r="A76" s="2"/>
      <c r="B76" s="106" t="s">
        <v>195</v>
      </c>
      <c r="C76" s="105">
        <v>1</v>
      </c>
      <c r="F76" s="2"/>
      <c r="G76" s="2"/>
      <c r="H76" s="2"/>
      <c r="I76" s="2"/>
      <c r="J76" s="2"/>
      <c r="K76" s="2"/>
      <c r="L76" s="2"/>
      <c r="M76" s="2"/>
    </row>
    <row r="77" spans="1:18" x14ac:dyDescent="0.2">
      <c r="A77" s="2"/>
      <c r="B77" s="104"/>
      <c r="C77" s="104"/>
      <c r="F77" s="2"/>
      <c r="G77" s="2"/>
      <c r="H77" s="2"/>
      <c r="I77" s="2"/>
      <c r="J77" s="2"/>
      <c r="K77" s="2"/>
      <c r="L77" s="2"/>
      <c r="M77" s="2"/>
    </row>
    <row r="78" spans="1:18" x14ac:dyDescent="0.2">
      <c r="A78" s="2"/>
      <c r="B78" s="104" t="s">
        <v>8</v>
      </c>
      <c r="C78" s="105" t="s">
        <v>9</v>
      </c>
      <c r="F78" s="2"/>
      <c r="G78" s="2"/>
      <c r="H78" s="2"/>
      <c r="I78" s="2"/>
      <c r="J78" s="2"/>
      <c r="K78" s="2"/>
      <c r="L78" s="2"/>
      <c r="M78" s="2"/>
    </row>
    <row r="79" spans="1:18" x14ac:dyDescent="0.2">
      <c r="A79" s="2"/>
      <c r="B79" s="104" t="s">
        <v>17</v>
      </c>
      <c r="C79" s="105">
        <v>1</v>
      </c>
      <c r="F79" s="2"/>
      <c r="G79" s="2"/>
      <c r="H79" s="2"/>
      <c r="I79" s="2"/>
      <c r="J79" s="2"/>
      <c r="K79" s="2"/>
      <c r="L79" s="2"/>
      <c r="M79" s="2"/>
    </row>
    <row r="80" spans="1:18" x14ac:dyDescent="0.2">
      <c r="A80" s="2"/>
      <c r="B80" s="106" t="s">
        <v>194</v>
      </c>
      <c r="C80" s="107" t="s">
        <v>92</v>
      </c>
      <c r="F80" s="2"/>
      <c r="G80" s="2"/>
      <c r="H80" s="2"/>
      <c r="I80" s="2"/>
      <c r="J80" s="2"/>
      <c r="K80" s="2"/>
      <c r="L80" s="2"/>
      <c r="M80" s="2"/>
    </row>
    <row r="81" spans="1:18" x14ac:dyDescent="0.2">
      <c r="A81" s="2"/>
      <c r="F81" s="2"/>
      <c r="G81" s="2"/>
      <c r="H81" s="2"/>
      <c r="I81" s="2"/>
      <c r="J81" s="2"/>
      <c r="K81" s="2"/>
      <c r="L81" s="2"/>
      <c r="M81" s="2"/>
    </row>
    <row r="82" spans="1:18" x14ac:dyDescent="0.2">
      <c r="A82" s="5" t="s">
        <v>30</v>
      </c>
      <c r="B82" s="96" t="s">
        <v>31</v>
      </c>
      <c r="C82" s="100" t="s">
        <v>122</v>
      </c>
      <c r="D82" s="6"/>
      <c r="E82" s="6"/>
      <c r="F82" s="2"/>
      <c r="G82" s="2"/>
      <c r="H82" s="2"/>
      <c r="I82" s="2"/>
      <c r="J82" s="2"/>
      <c r="K82" s="2"/>
      <c r="L82" s="2"/>
      <c r="M82" s="2"/>
      <c r="Q82" s="2"/>
      <c r="R82" s="2"/>
    </row>
    <row r="83" spans="1:18" x14ac:dyDescent="0.2">
      <c r="A83" s="5"/>
      <c r="B83" s="97" t="s">
        <v>8</v>
      </c>
      <c r="C83" s="97" t="s">
        <v>9</v>
      </c>
      <c r="D83" s="16"/>
      <c r="E83" s="6"/>
      <c r="F83" s="2"/>
      <c r="G83" s="2"/>
      <c r="H83" s="2"/>
      <c r="I83" s="2"/>
      <c r="J83" s="2"/>
      <c r="K83" s="2"/>
      <c r="L83" s="2"/>
      <c r="M83" s="2"/>
      <c r="Q83" s="2"/>
      <c r="R83" s="2"/>
    </row>
    <row r="84" spans="1:18" x14ac:dyDescent="0.2">
      <c r="A84" s="5"/>
      <c r="B84" s="97" t="s">
        <v>17</v>
      </c>
      <c r="C84" s="97">
        <v>1</v>
      </c>
      <c r="D84" s="16"/>
      <c r="E84" s="6"/>
      <c r="F84" s="2"/>
      <c r="G84" s="2"/>
      <c r="H84" s="2"/>
      <c r="I84" s="2"/>
      <c r="J84" s="2"/>
      <c r="K84" s="2"/>
      <c r="L84" s="2"/>
      <c r="M84" s="2"/>
      <c r="Q84" s="2"/>
      <c r="R84" s="2"/>
    </row>
    <row r="85" spans="1:18" x14ac:dyDescent="0.2">
      <c r="A85" s="5" t="s">
        <v>21</v>
      </c>
      <c r="B85" s="97" t="s">
        <v>125</v>
      </c>
      <c r="C85" s="101" t="s">
        <v>48</v>
      </c>
      <c r="D85" s="6"/>
      <c r="E85" s="6"/>
      <c r="F85" s="2"/>
      <c r="G85" s="2"/>
      <c r="H85" s="2"/>
      <c r="I85" s="2"/>
      <c r="J85" s="2"/>
      <c r="K85" s="2"/>
      <c r="L85" s="2"/>
      <c r="M85" s="2"/>
      <c r="Q85" s="2"/>
      <c r="R85" s="2"/>
    </row>
    <row r="86" spans="1:18" x14ac:dyDescent="0.2">
      <c r="A86" s="5"/>
      <c r="B86" s="96"/>
      <c r="C86" s="100"/>
      <c r="D86" s="6"/>
      <c r="E86" s="6"/>
      <c r="F86" s="2"/>
      <c r="G86" s="2"/>
      <c r="H86" s="2"/>
      <c r="I86" s="2"/>
      <c r="J86" s="2"/>
      <c r="K86" s="2"/>
      <c r="L86" s="2"/>
      <c r="M86" s="2"/>
      <c r="Q86" s="2"/>
      <c r="R86" s="2"/>
    </row>
    <row r="87" spans="1:18" x14ac:dyDescent="0.2">
      <c r="A87" s="5"/>
      <c r="B87" s="97" t="s">
        <v>8</v>
      </c>
      <c r="C87" s="97" t="s">
        <v>32</v>
      </c>
      <c r="D87" s="6"/>
      <c r="E87" s="6"/>
      <c r="F87" s="2"/>
      <c r="G87" s="2"/>
      <c r="H87" s="2"/>
      <c r="I87" s="2"/>
      <c r="J87" s="2"/>
      <c r="K87" s="2"/>
      <c r="L87" s="2"/>
      <c r="M87" s="2"/>
      <c r="Q87" s="2"/>
      <c r="R87" s="2"/>
    </row>
    <row r="88" spans="1:18" x14ac:dyDescent="0.2">
      <c r="A88" s="5"/>
      <c r="B88" s="97" t="s">
        <v>45</v>
      </c>
      <c r="C88" s="97" t="s">
        <v>46</v>
      </c>
      <c r="D88" s="6"/>
      <c r="E88" s="6"/>
      <c r="F88" s="2"/>
      <c r="G88" s="2"/>
      <c r="H88" s="2"/>
      <c r="I88" s="2"/>
      <c r="J88" s="2"/>
      <c r="K88" s="2"/>
      <c r="L88" s="2"/>
      <c r="M88" s="2"/>
      <c r="Q88" s="2"/>
      <c r="R88" s="2"/>
    </row>
    <row r="89" spans="1:18" x14ac:dyDescent="0.2">
      <c r="A89" s="5"/>
      <c r="B89" s="97" t="s">
        <v>17</v>
      </c>
      <c r="C89" s="97">
        <v>600</v>
      </c>
      <c r="D89" s="16"/>
      <c r="E89" s="6"/>
      <c r="F89" s="2"/>
      <c r="G89" s="2"/>
      <c r="H89" s="2"/>
      <c r="I89" s="2"/>
      <c r="J89" s="2"/>
      <c r="K89" s="2"/>
      <c r="L89" s="2"/>
      <c r="M89" s="2"/>
      <c r="Q89" s="2"/>
      <c r="R89" s="2"/>
    </row>
    <row r="90" spans="1:18" x14ac:dyDescent="0.2">
      <c r="A90" s="5"/>
      <c r="B90" s="97" t="s">
        <v>34</v>
      </c>
      <c r="C90" s="97" t="s">
        <v>41</v>
      </c>
      <c r="D90" s="6"/>
      <c r="E90" s="6"/>
      <c r="F90" s="2"/>
      <c r="G90" s="2"/>
      <c r="H90" s="2"/>
      <c r="I90" s="2"/>
      <c r="J90" s="2"/>
      <c r="K90" s="2"/>
      <c r="L90" s="2"/>
      <c r="M90" s="2"/>
      <c r="Q90" s="2"/>
      <c r="R90" s="2"/>
    </row>
    <row r="91" spans="1:18" x14ac:dyDescent="0.2">
      <c r="A91" s="5"/>
      <c r="B91" s="97" t="s">
        <v>164</v>
      </c>
      <c r="C91" s="98">
        <v>0.1</v>
      </c>
      <c r="D91" s="6"/>
      <c r="E91" s="6"/>
      <c r="F91" s="2"/>
      <c r="G91" s="2"/>
      <c r="H91" s="2"/>
      <c r="I91" s="2"/>
      <c r="J91" s="2"/>
      <c r="K91" s="2"/>
      <c r="L91" s="2"/>
      <c r="M91" s="2"/>
      <c r="Q91" s="2"/>
      <c r="R91" s="2"/>
    </row>
    <row r="92" spans="1:18" x14ac:dyDescent="0.2">
      <c r="A92" s="5"/>
      <c r="B92" s="96"/>
      <c r="C92" s="97"/>
      <c r="D92" s="6"/>
      <c r="E92" s="6"/>
      <c r="F92" s="2"/>
      <c r="G92" s="2"/>
      <c r="H92" s="2"/>
      <c r="I92" s="2"/>
      <c r="J92" s="2"/>
      <c r="K92" s="2"/>
      <c r="L92" s="2"/>
      <c r="M92" s="2"/>
      <c r="Q92" s="2"/>
      <c r="R92" s="2"/>
    </row>
    <row r="93" spans="1:18" x14ac:dyDescent="0.2">
      <c r="A93" s="5"/>
      <c r="B93" s="97" t="s">
        <v>8</v>
      </c>
      <c r="C93" s="97" t="s">
        <v>9</v>
      </c>
      <c r="D93" s="16"/>
      <c r="F93" s="2"/>
      <c r="G93" s="2"/>
      <c r="H93" s="2"/>
      <c r="I93" s="2"/>
      <c r="J93" s="2"/>
      <c r="K93" s="2"/>
      <c r="L93" s="2"/>
      <c r="M93" s="2"/>
      <c r="Q93" s="2"/>
      <c r="R93" s="2"/>
    </row>
    <row r="94" spans="1:18" x14ac:dyDescent="0.2">
      <c r="A94" s="5"/>
      <c r="B94" s="97" t="s">
        <v>17</v>
      </c>
      <c r="C94" s="97">
        <v>5</v>
      </c>
      <c r="D94" s="16"/>
      <c r="E94" s="6"/>
      <c r="F94" s="2"/>
      <c r="G94" s="2"/>
      <c r="H94" s="2"/>
      <c r="I94" s="2"/>
      <c r="J94" s="2"/>
      <c r="K94" s="2"/>
      <c r="L94" s="2"/>
      <c r="M94" s="2"/>
      <c r="Q94" s="2"/>
      <c r="R94" s="2"/>
    </row>
    <row r="95" spans="1:18" x14ac:dyDescent="0.2">
      <c r="A95" s="2"/>
      <c r="B95" s="97" t="s">
        <v>142</v>
      </c>
      <c r="C95" s="97">
        <v>2</v>
      </c>
      <c r="D95" s="16"/>
      <c r="E95" s="6"/>
      <c r="F95" s="2"/>
      <c r="G95" s="2"/>
      <c r="H95" s="2"/>
      <c r="I95" s="2"/>
      <c r="J95" s="2"/>
      <c r="K95" s="2"/>
      <c r="L95" s="2"/>
      <c r="M95" s="2"/>
      <c r="Q95" s="2"/>
      <c r="R95" s="2"/>
    </row>
    <row r="96" spans="1:18" x14ac:dyDescent="0.2">
      <c r="A96" s="5"/>
      <c r="B96" s="96"/>
      <c r="C96" s="97"/>
      <c r="D96" s="6"/>
      <c r="E96" s="6"/>
      <c r="F96" s="2"/>
      <c r="G96" s="2"/>
      <c r="H96" s="2"/>
      <c r="I96" s="2"/>
      <c r="J96" s="2"/>
      <c r="K96" s="2"/>
      <c r="L96" s="2"/>
      <c r="M96" s="2"/>
      <c r="Q96" s="2"/>
      <c r="R96" s="2"/>
    </row>
    <row r="97" spans="1:18" x14ac:dyDescent="0.2">
      <c r="A97" s="5"/>
      <c r="B97" s="97" t="s">
        <v>8</v>
      </c>
      <c r="C97" s="97" t="s">
        <v>9</v>
      </c>
      <c r="D97" s="16"/>
      <c r="F97" s="2"/>
      <c r="G97" s="2"/>
      <c r="H97" s="2"/>
      <c r="I97" s="2"/>
      <c r="J97" s="2"/>
      <c r="K97" s="2"/>
      <c r="L97" s="2"/>
      <c r="M97" s="2"/>
      <c r="Q97" s="2"/>
      <c r="R97" s="2"/>
    </row>
    <row r="98" spans="1:18" x14ac:dyDescent="0.2">
      <c r="A98" s="5"/>
      <c r="B98" s="97" t="s">
        <v>17</v>
      </c>
      <c r="C98" s="97">
        <v>1</v>
      </c>
      <c r="D98" s="16"/>
      <c r="E98" s="6"/>
      <c r="F98" s="2"/>
      <c r="G98" s="2"/>
      <c r="H98" s="2"/>
      <c r="I98" s="2"/>
      <c r="J98" s="2"/>
      <c r="K98" s="2"/>
      <c r="L98" s="2"/>
      <c r="M98" s="2"/>
      <c r="Q98" s="2"/>
      <c r="R98" s="2"/>
    </row>
    <row r="99" spans="1:18" x14ac:dyDescent="0.2">
      <c r="A99" s="5" t="s">
        <v>21</v>
      </c>
      <c r="B99" s="97" t="s">
        <v>125</v>
      </c>
      <c r="C99" s="101" t="s">
        <v>92</v>
      </c>
      <c r="D99" s="6"/>
      <c r="E99" s="6"/>
      <c r="F99" s="2"/>
      <c r="G99" s="2"/>
      <c r="H99" s="2"/>
      <c r="I99" s="2"/>
      <c r="J99" s="2"/>
      <c r="K99" s="2"/>
      <c r="L99" s="2"/>
      <c r="M99" s="2"/>
      <c r="Q99" s="2"/>
      <c r="R99" s="2"/>
    </row>
    <row r="100" spans="1:18" s="6" customFormat="1" x14ac:dyDescent="0.2">
      <c r="A100" s="5"/>
      <c r="Q100" s="22"/>
      <c r="R100" s="22"/>
    </row>
    <row r="101" spans="1:18" x14ac:dyDescent="0.2">
      <c r="A101" s="5" t="s">
        <v>30</v>
      </c>
      <c r="B101" s="57" t="s">
        <v>31</v>
      </c>
      <c r="C101" s="58" t="s">
        <v>47</v>
      </c>
      <c r="D101" s="6"/>
      <c r="E101" s="6"/>
      <c r="F101" s="2"/>
      <c r="G101" s="2"/>
      <c r="H101" s="2"/>
      <c r="I101" s="2"/>
      <c r="J101" s="2"/>
      <c r="K101" s="2"/>
      <c r="L101" s="2"/>
      <c r="M101" s="2"/>
      <c r="Q101" s="2"/>
      <c r="R101" s="2"/>
    </row>
    <row r="102" spans="1:18" x14ac:dyDescent="0.2">
      <c r="A102" s="5"/>
      <c r="B102" s="58" t="s">
        <v>8</v>
      </c>
      <c r="C102" s="58" t="s">
        <v>32</v>
      </c>
      <c r="D102" s="6"/>
      <c r="E102" s="6"/>
      <c r="F102" s="2"/>
      <c r="G102" s="2"/>
      <c r="H102" s="2"/>
      <c r="I102" s="2"/>
      <c r="J102" s="2"/>
      <c r="K102" s="2"/>
      <c r="L102" s="2"/>
      <c r="M102" s="2"/>
      <c r="Q102" s="2"/>
      <c r="R102" s="2"/>
    </row>
    <row r="103" spans="1:18" x14ac:dyDescent="0.2">
      <c r="A103" s="5"/>
      <c r="B103" s="58" t="s">
        <v>45</v>
      </c>
      <c r="C103" s="58" t="s">
        <v>46</v>
      </c>
      <c r="D103" s="6"/>
      <c r="E103" s="6"/>
      <c r="F103" s="2"/>
      <c r="G103" s="2"/>
      <c r="H103" s="2"/>
      <c r="I103" s="2"/>
      <c r="J103" s="2"/>
      <c r="K103" s="2"/>
      <c r="L103" s="2"/>
      <c r="M103" s="2"/>
      <c r="Q103" s="2"/>
      <c r="R103" s="2"/>
    </row>
    <row r="104" spans="1:18" x14ac:dyDescent="0.2">
      <c r="A104" s="5"/>
      <c r="B104" s="58" t="s">
        <v>17</v>
      </c>
      <c r="C104" s="58">
        <f>LEFT(D104,3)*1</f>
        <v>180</v>
      </c>
      <c r="D104" s="16" t="s">
        <v>55</v>
      </c>
      <c r="E104" s="6"/>
      <c r="F104" s="2"/>
      <c r="G104" s="2"/>
      <c r="H104" s="2"/>
      <c r="I104" s="2"/>
      <c r="J104" s="2"/>
      <c r="K104" s="2"/>
      <c r="L104" s="2"/>
      <c r="M104" s="2"/>
      <c r="Q104" s="2"/>
      <c r="R104" s="2"/>
    </row>
    <row r="105" spans="1:18" x14ac:dyDescent="0.2">
      <c r="A105" s="5"/>
      <c r="B105" s="58" t="s">
        <v>34</v>
      </c>
      <c r="C105" s="58" t="s">
        <v>41</v>
      </c>
      <c r="D105" s="6"/>
      <c r="E105" s="6"/>
      <c r="F105" s="2"/>
      <c r="G105" s="2"/>
      <c r="H105" s="2"/>
      <c r="I105" s="2"/>
      <c r="J105" s="2"/>
      <c r="K105" s="2"/>
      <c r="L105" s="2"/>
      <c r="M105" s="2"/>
      <c r="Q105" s="2"/>
      <c r="R105" s="2"/>
    </row>
    <row r="106" spans="1:18" x14ac:dyDescent="0.2">
      <c r="A106" s="5"/>
      <c r="B106" s="58" t="s">
        <v>164</v>
      </c>
      <c r="C106" s="59">
        <v>0.2</v>
      </c>
      <c r="D106" s="6"/>
      <c r="E106" s="6"/>
      <c r="F106" s="2"/>
      <c r="G106" s="2"/>
      <c r="H106" s="2"/>
      <c r="I106" s="2"/>
      <c r="J106" s="2"/>
      <c r="K106" s="2"/>
      <c r="L106" s="2"/>
      <c r="M106" s="2"/>
      <c r="Q106" s="2"/>
      <c r="R106" s="2"/>
    </row>
    <row r="107" spans="1:18" x14ac:dyDescent="0.2">
      <c r="A107" s="5"/>
      <c r="B107" s="58" t="s">
        <v>34</v>
      </c>
      <c r="C107" s="58" t="s">
        <v>42</v>
      </c>
      <c r="D107" s="6"/>
      <c r="E107" s="6"/>
      <c r="F107" s="2"/>
      <c r="G107" s="2"/>
      <c r="H107" s="2"/>
      <c r="I107" s="2"/>
      <c r="J107" s="2"/>
      <c r="K107" s="2"/>
      <c r="L107" s="2"/>
      <c r="M107" s="2"/>
      <c r="Q107" s="2"/>
      <c r="R107" s="2"/>
    </row>
    <row r="108" spans="1:18" x14ac:dyDescent="0.2">
      <c r="A108" s="5"/>
      <c r="B108" s="58" t="s">
        <v>135</v>
      </c>
      <c r="C108" s="60" t="s">
        <v>14</v>
      </c>
      <c r="D108" s="6"/>
      <c r="E108" s="6"/>
      <c r="F108" s="2"/>
      <c r="G108" s="2"/>
      <c r="H108" s="2"/>
      <c r="I108" s="2"/>
      <c r="J108" s="2"/>
      <c r="K108" s="2"/>
      <c r="L108" s="2"/>
      <c r="M108" s="2"/>
      <c r="Q108" s="2"/>
      <c r="R108" s="2"/>
    </row>
    <row r="109" spans="1:18" x14ac:dyDescent="0.2">
      <c r="A109" s="5"/>
      <c r="B109" s="57"/>
      <c r="C109" s="58"/>
      <c r="D109" s="6"/>
      <c r="E109" s="6"/>
      <c r="F109" s="2"/>
      <c r="G109" s="2"/>
      <c r="H109" s="2"/>
      <c r="I109" s="2"/>
      <c r="J109" s="2"/>
      <c r="K109" s="2"/>
      <c r="L109" s="2"/>
      <c r="M109" s="2"/>
      <c r="Q109" s="2"/>
      <c r="R109" s="2"/>
    </row>
    <row r="110" spans="1:18" x14ac:dyDescent="0.2">
      <c r="A110" s="5"/>
      <c r="B110" s="58" t="s">
        <v>8</v>
      </c>
      <c r="C110" s="58" t="s">
        <v>9</v>
      </c>
      <c r="D110" s="16" t="s">
        <v>196</v>
      </c>
      <c r="E110" s="6"/>
      <c r="F110" s="2"/>
      <c r="G110" s="2"/>
      <c r="H110" s="2"/>
      <c r="I110" s="2"/>
      <c r="J110" s="2"/>
      <c r="K110" s="2"/>
      <c r="L110" s="2"/>
      <c r="M110" s="2"/>
      <c r="Q110" s="2"/>
      <c r="R110" s="2"/>
    </row>
    <row r="111" spans="1:18" x14ac:dyDescent="0.2">
      <c r="A111" s="5"/>
      <c r="B111" s="58" t="s">
        <v>17</v>
      </c>
      <c r="C111" s="58">
        <v>2</v>
      </c>
      <c r="D111" s="16"/>
      <c r="E111" s="6"/>
      <c r="F111" s="2"/>
      <c r="G111" s="2"/>
      <c r="H111" s="2"/>
      <c r="I111" s="2"/>
      <c r="J111" s="2"/>
      <c r="K111" s="2"/>
      <c r="L111" s="2"/>
      <c r="M111" s="2"/>
      <c r="Q111" s="2"/>
      <c r="R111" s="2"/>
    </row>
    <row r="112" spans="1:18" x14ac:dyDescent="0.2">
      <c r="A112" s="5" t="s">
        <v>21</v>
      </c>
      <c r="B112" s="58" t="s">
        <v>190</v>
      </c>
      <c r="C112" s="58">
        <v>1</v>
      </c>
      <c r="D112" s="16" t="s">
        <v>199</v>
      </c>
      <c r="E112" s="6"/>
      <c r="F112" s="2"/>
      <c r="G112" s="2"/>
      <c r="H112" s="2"/>
      <c r="I112" s="2"/>
      <c r="J112" s="2"/>
      <c r="K112" s="2"/>
      <c r="L112" s="2"/>
      <c r="M112" s="2"/>
      <c r="Q112" s="2"/>
      <c r="R112" s="2"/>
    </row>
    <row r="113" spans="1:18" x14ac:dyDescent="0.2">
      <c r="A113" s="5"/>
      <c r="B113" s="58" t="s">
        <v>25</v>
      </c>
      <c r="C113" s="58">
        <v>1</v>
      </c>
      <c r="D113" s="6"/>
      <c r="E113" s="6"/>
      <c r="F113" s="2"/>
      <c r="G113" s="2"/>
      <c r="H113" s="2"/>
      <c r="I113" s="2"/>
      <c r="J113" s="2"/>
      <c r="K113" s="2"/>
      <c r="L113" s="2"/>
      <c r="M113" s="2"/>
      <c r="Q113" s="2"/>
      <c r="R113" s="2"/>
    </row>
    <row r="114" spans="1:18" x14ac:dyDescent="0.2">
      <c r="A114" s="5"/>
      <c r="B114" s="58" t="s">
        <v>195</v>
      </c>
      <c r="C114" s="58">
        <v>1</v>
      </c>
      <c r="D114" s="6"/>
      <c r="E114" s="6"/>
      <c r="F114" s="2"/>
      <c r="G114" s="2"/>
      <c r="H114" s="2"/>
      <c r="I114" s="2"/>
      <c r="J114" s="2"/>
      <c r="K114" s="2"/>
      <c r="L114" s="2"/>
      <c r="M114" s="2"/>
      <c r="Q114" s="2"/>
      <c r="R114" s="2"/>
    </row>
    <row r="115" spans="1:18" x14ac:dyDescent="0.2">
      <c r="A115" s="5"/>
      <c r="B115" s="58"/>
      <c r="C115" s="58"/>
      <c r="D115" s="6"/>
      <c r="E115" s="6"/>
      <c r="F115" s="2"/>
      <c r="G115" s="2"/>
      <c r="H115" s="2"/>
      <c r="I115" s="2"/>
      <c r="J115" s="2"/>
      <c r="K115" s="2"/>
      <c r="L115" s="2"/>
      <c r="M115" s="2"/>
      <c r="Q115" s="2"/>
      <c r="R115" s="2"/>
    </row>
    <row r="116" spans="1:18" x14ac:dyDescent="0.2">
      <c r="A116" s="5"/>
      <c r="B116" s="58" t="s">
        <v>8</v>
      </c>
      <c r="C116" s="58" t="s">
        <v>32</v>
      </c>
      <c r="D116" s="16" t="str">
        <f>"If " &amp; C118 &amp; " seconds pass, OR Voltage &lt;" &amp; C120 &amp; " Volts, OR LB_ENBL is OFF go to next 'Step Type'"</f>
        <v>If 60 seconds pass, OR Voltage &lt;0.2 Volts, OR LB_ENBL is OFF go to next 'Step Type'</v>
      </c>
      <c r="E116" s="6"/>
      <c r="F116" s="2"/>
      <c r="G116" s="2"/>
      <c r="H116" s="2"/>
      <c r="I116" s="2"/>
      <c r="J116" s="2"/>
      <c r="K116" s="2"/>
      <c r="L116" s="2"/>
      <c r="M116" s="2"/>
      <c r="Q116" s="2"/>
      <c r="R116" s="2"/>
    </row>
    <row r="117" spans="1:18" x14ac:dyDescent="0.2">
      <c r="A117" s="5"/>
      <c r="B117" s="58" t="s">
        <v>45</v>
      </c>
      <c r="C117" s="58" t="s">
        <v>46</v>
      </c>
      <c r="D117" s="6"/>
      <c r="E117" s="6"/>
      <c r="F117" s="2"/>
      <c r="G117" s="2"/>
      <c r="H117" s="2"/>
      <c r="I117" s="2"/>
      <c r="J117" s="2"/>
      <c r="K117" s="2"/>
      <c r="L117" s="2"/>
      <c r="M117" s="2"/>
      <c r="Q117" s="2"/>
      <c r="R117" s="2"/>
    </row>
    <row r="118" spans="1:18" x14ac:dyDescent="0.2">
      <c r="A118" s="5"/>
      <c r="B118" s="58" t="s">
        <v>17</v>
      </c>
      <c r="C118" s="58">
        <v>60</v>
      </c>
      <c r="D118" s="6"/>
      <c r="E118" s="6"/>
      <c r="F118" s="2"/>
      <c r="G118" s="2"/>
      <c r="H118" s="2"/>
      <c r="I118" s="2"/>
      <c r="J118" s="2"/>
      <c r="K118" s="2"/>
      <c r="L118" s="2"/>
      <c r="M118" s="2"/>
      <c r="Q118" s="2"/>
      <c r="R118" s="2"/>
    </row>
    <row r="119" spans="1:18" x14ac:dyDescent="0.2">
      <c r="A119" s="5"/>
      <c r="B119" s="58" t="s">
        <v>34</v>
      </c>
      <c r="C119" s="58" t="s">
        <v>41</v>
      </c>
      <c r="D119" s="6"/>
      <c r="E119" s="6"/>
      <c r="F119" s="2"/>
      <c r="G119" s="2"/>
      <c r="H119" s="2"/>
      <c r="I119" s="2"/>
      <c r="J119" s="2"/>
      <c r="K119" s="2"/>
      <c r="L119" s="2"/>
      <c r="M119" s="2"/>
      <c r="Q119" s="2"/>
      <c r="R119" s="2"/>
    </row>
    <row r="120" spans="1:18" x14ac:dyDescent="0.2">
      <c r="A120" s="5"/>
      <c r="B120" s="58" t="s">
        <v>164</v>
      </c>
      <c r="C120" s="59">
        <v>0.2</v>
      </c>
      <c r="D120" s="16" t="s">
        <v>198</v>
      </c>
      <c r="E120" s="6"/>
      <c r="F120" s="2"/>
      <c r="G120" s="2"/>
      <c r="H120" s="2"/>
      <c r="I120" s="2"/>
      <c r="J120" s="2"/>
      <c r="K120" s="2"/>
      <c r="L120" s="2"/>
      <c r="M120" s="2"/>
      <c r="Q120" s="2"/>
      <c r="R120" s="2"/>
    </row>
    <row r="121" spans="1:18" x14ac:dyDescent="0.2">
      <c r="A121" s="5"/>
      <c r="B121" s="58" t="s">
        <v>34</v>
      </c>
      <c r="C121" s="58" t="s">
        <v>42</v>
      </c>
      <c r="D121" s="6"/>
      <c r="E121" s="6"/>
      <c r="F121" s="2"/>
      <c r="G121" s="2"/>
      <c r="H121" s="2"/>
      <c r="I121" s="2"/>
      <c r="J121" s="2"/>
      <c r="K121" s="2"/>
      <c r="L121" s="2"/>
      <c r="M121" s="2"/>
      <c r="Q121" s="2"/>
      <c r="R121" s="2"/>
    </row>
    <row r="122" spans="1:18" x14ac:dyDescent="0.2">
      <c r="A122" s="5"/>
      <c r="B122" s="58" t="s">
        <v>135</v>
      </c>
      <c r="C122" s="60" t="s">
        <v>14</v>
      </c>
      <c r="D122" s="6"/>
      <c r="E122" s="6"/>
      <c r="F122" s="2"/>
      <c r="G122" s="2"/>
      <c r="H122" s="2"/>
      <c r="I122" s="2"/>
      <c r="J122" s="2"/>
      <c r="K122" s="2"/>
      <c r="L122" s="2"/>
      <c r="M122" s="2"/>
      <c r="Q122" s="2"/>
      <c r="R122" s="2"/>
    </row>
    <row r="123" spans="1:18" x14ac:dyDescent="0.2">
      <c r="A123" s="5"/>
      <c r="B123" s="58"/>
      <c r="C123" s="58"/>
      <c r="D123" s="6"/>
      <c r="E123" s="6"/>
      <c r="F123" s="2"/>
      <c r="G123" s="2"/>
      <c r="H123" s="2"/>
      <c r="I123" s="2"/>
      <c r="J123" s="2"/>
      <c r="K123" s="2"/>
      <c r="L123" s="2"/>
      <c r="M123" s="2"/>
      <c r="Q123" s="2"/>
      <c r="R123" s="2"/>
    </row>
    <row r="124" spans="1:18" x14ac:dyDescent="0.2">
      <c r="A124" s="5"/>
      <c r="B124" s="58" t="s">
        <v>8</v>
      </c>
      <c r="C124" s="58" t="s">
        <v>9</v>
      </c>
      <c r="D124" s="6"/>
      <c r="E124" s="6"/>
      <c r="F124" s="2"/>
      <c r="G124" s="2"/>
      <c r="H124" s="2"/>
      <c r="I124" s="2"/>
      <c r="J124" s="2"/>
      <c r="K124" s="2"/>
      <c r="L124" s="2"/>
      <c r="M124" s="2"/>
      <c r="Q124" s="2"/>
      <c r="R124" s="2"/>
    </row>
    <row r="125" spans="1:18" x14ac:dyDescent="0.2">
      <c r="A125" s="5"/>
      <c r="B125" s="58" t="s">
        <v>17</v>
      </c>
      <c r="C125" s="58">
        <v>2</v>
      </c>
      <c r="D125" s="6"/>
      <c r="E125" s="6"/>
      <c r="F125" s="2"/>
      <c r="G125" s="2"/>
      <c r="H125" s="2"/>
      <c r="I125" s="2"/>
      <c r="J125" s="2"/>
      <c r="K125" s="2"/>
      <c r="L125" s="2"/>
      <c r="M125" s="2"/>
      <c r="Q125" s="2"/>
      <c r="R125" s="2"/>
    </row>
    <row r="126" spans="1:18" x14ac:dyDescent="0.2">
      <c r="A126" s="5"/>
      <c r="B126" s="58" t="s">
        <v>194</v>
      </c>
      <c r="C126" s="60" t="s">
        <v>92</v>
      </c>
      <c r="D126" s="16" t="s">
        <v>197</v>
      </c>
      <c r="E126" s="6"/>
      <c r="F126" s="2"/>
      <c r="G126" s="2"/>
      <c r="H126" s="2"/>
      <c r="I126" s="2"/>
      <c r="J126" s="2"/>
      <c r="K126" s="2"/>
      <c r="L126" s="2"/>
      <c r="M126" s="2"/>
      <c r="Q126" s="2"/>
      <c r="R126" s="2"/>
    </row>
    <row r="128" spans="1:18" x14ac:dyDescent="0.2">
      <c r="A128" s="4" t="s">
        <v>6</v>
      </c>
    </row>
    <row r="129" spans="1:4" x14ac:dyDescent="0.2">
      <c r="B129" s="2" t="s">
        <v>8</v>
      </c>
      <c r="C129" s="2" t="s">
        <v>9</v>
      </c>
    </row>
    <row r="130" spans="1:4" x14ac:dyDescent="0.2">
      <c r="B130" s="2" t="s">
        <v>17</v>
      </c>
      <c r="C130" s="2">
        <v>2</v>
      </c>
    </row>
    <row r="131" spans="1:4" x14ac:dyDescent="0.2">
      <c r="B131" s="2" t="s">
        <v>166</v>
      </c>
      <c r="C131" s="25" t="str">
        <f ca="1">MID(CELL("filename",A1),FIND("]",CELL("filename",A1))+1,256) &amp; " Finished"</f>
        <v>FCPM Finished</v>
      </c>
    </row>
    <row r="132" spans="1:4" x14ac:dyDescent="0.2">
      <c r="B132" s="2" t="s">
        <v>193</v>
      </c>
      <c r="C132" s="27" t="s">
        <v>48</v>
      </c>
    </row>
    <row r="133" spans="1:4" x14ac:dyDescent="0.2">
      <c r="B133" s="2" t="s">
        <v>201</v>
      </c>
      <c r="C133" s="25" t="s">
        <v>92</v>
      </c>
    </row>
    <row r="134" spans="1:4" x14ac:dyDescent="0.2">
      <c r="B134" s="2" t="s">
        <v>202</v>
      </c>
      <c r="C134" s="25" t="s">
        <v>92</v>
      </c>
      <c r="D134" s="3" t="s">
        <v>200</v>
      </c>
    </row>
    <row r="135" spans="1:4" x14ac:dyDescent="0.2">
      <c r="A135" s="4" t="s">
        <v>7</v>
      </c>
    </row>
  </sheetData>
  <phoneticPr fontId="0" type="noConversion"/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72B9-2676-4C23-859E-E5C7F319B60E}">
  <sheetPr codeName="Sheet26">
    <pageSetUpPr fitToPage="1"/>
  </sheetPr>
  <dimension ref="A1:AA136"/>
  <sheetViews>
    <sheetView topLeftCell="A30" zoomScale="85" zoomScaleNormal="25" zoomScaleSheetLayoutView="70" workbookViewId="0">
      <selection activeCell="F44" sqref="F44"/>
    </sheetView>
  </sheetViews>
  <sheetFormatPr defaultRowHeight="12.75" x14ac:dyDescent="0.2"/>
  <cols>
    <col min="1" max="1" width="11.5703125" style="4" bestFit="1" customWidth="1"/>
    <col min="2" max="2" width="56" style="2" customWidth="1"/>
    <col min="3" max="3" width="20.140625" style="2" customWidth="1"/>
    <col min="4" max="4" width="7.85546875" style="2" customWidth="1"/>
    <col min="5" max="5" width="18.42578125" style="2" bestFit="1" customWidth="1"/>
    <col min="6" max="6" width="8.42578125" style="6" bestFit="1" customWidth="1"/>
    <col min="7" max="7" width="8.7109375" style="6" bestFit="1" customWidth="1"/>
    <col min="8" max="8" width="8.5703125" style="6" bestFit="1" customWidth="1"/>
    <col min="9" max="9" width="9.28515625" style="6" bestFit="1" customWidth="1"/>
    <col min="10" max="10" width="7.5703125" style="6" bestFit="1" customWidth="1"/>
    <col min="11" max="11" width="9.85546875" style="6" bestFit="1" customWidth="1"/>
    <col min="12" max="13" width="8.140625" style="6" customWidth="1"/>
    <col min="14" max="14" width="6.42578125" style="2" bestFit="1" customWidth="1"/>
    <col min="15" max="15" width="9.5703125" style="2" customWidth="1"/>
    <col min="16" max="16" width="9.5703125" style="2" bestFit="1" customWidth="1"/>
    <col min="17" max="18" width="7.5703125" style="1" bestFit="1" customWidth="1"/>
    <col min="19" max="19" width="11.28515625" style="2" customWidth="1"/>
    <col min="20" max="16384" width="9.140625" style="2"/>
  </cols>
  <sheetData>
    <row r="1" spans="1:19" s="4" customFormat="1" x14ac:dyDescent="0.2">
      <c r="A1" s="4" t="s">
        <v>3</v>
      </c>
      <c r="B1" s="4" t="s">
        <v>4</v>
      </c>
      <c r="C1" s="2"/>
      <c r="E1" s="2"/>
      <c r="F1" s="6"/>
      <c r="G1" s="6"/>
      <c r="H1" s="6"/>
      <c r="I1" s="6"/>
      <c r="J1" s="6"/>
      <c r="K1" s="6"/>
      <c r="L1" s="6"/>
      <c r="M1" s="6"/>
      <c r="N1" s="2"/>
      <c r="O1" s="2"/>
      <c r="P1" s="2"/>
      <c r="Q1" s="1"/>
      <c r="R1" s="1"/>
      <c r="S1" s="2"/>
    </row>
    <row r="2" spans="1:19" x14ac:dyDescent="0.2">
      <c r="A2" s="4" t="s">
        <v>0</v>
      </c>
      <c r="B2" s="3" t="s">
        <v>1</v>
      </c>
      <c r="C2" s="3" t="s">
        <v>2</v>
      </c>
    </row>
    <row r="4" spans="1:19" x14ac:dyDescent="0.2">
      <c r="A4" s="4" t="s">
        <v>5</v>
      </c>
    </row>
    <row r="5" spans="1:19" x14ac:dyDescent="0.2">
      <c r="B5" s="2" t="s">
        <v>8</v>
      </c>
      <c r="C5" s="2" t="s">
        <v>9</v>
      </c>
    </row>
    <row r="6" spans="1:19" x14ac:dyDescent="0.2">
      <c r="B6" s="2" t="s">
        <v>17</v>
      </c>
      <c r="C6" s="25">
        <v>2</v>
      </c>
    </row>
    <row r="7" spans="1:19" x14ac:dyDescent="0.2">
      <c r="B7" s="2" t="s">
        <v>166</v>
      </c>
      <c r="C7" s="25" t="s">
        <v>5</v>
      </c>
    </row>
    <row r="8" spans="1:19" x14ac:dyDescent="0.2">
      <c r="A8" s="4" t="s">
        <v>21</v>
      </c>
      <c r="B8" s="2" t="s">
        <v>191</v>
      </c>
      <c r="C8" s="25" t="s">
        <v>192</v>
      </c>
    </row>
    <row r="9" spans="1:19" x14ac:dyDescent="0.2">
      <c r="B9" s="2" t="s">
        <v>193</v>
      </c>
      <c r="C9" s="25" t="s">
        <v>92</v>
      </c>
    </row>
    <row r="10" spans="1:19" x14ac:dyDescent="0.2">
      <c r="C10" s="25"/>
    </row>
    <row r="11" spans="1:19" x14ac:dyDescent="0.2">
      <c r="B11" s="2" t="s">
        <v>135</v>
      </c>
      <c r="C11" s="25" t="s">
        <v>14</v>
      </c>
    </row>
    <row r="12" spans="1:19" x14ac:dyDescent="0.2">
      <c r="B12" s="2" t="s">
        <v>133</v>
      </c>
      <c r="C12" s="25" t="s">
        <v>68</v>
      </c>
    </row>
    <row r="13" spans="1:19" x14ac:dyDescent="0.2">
      <c r="B13" s="2" t="s">
        <v>136</v>
      </c>
      <c r="C13" s="28">
        <v>1.1000000000000001</v>
      </c>
    </row>
    <row r="14" spans="1:19" x14ac:dyDescent="0.2">
      <c r="B14" s="2" t="s">
        <v>137</v>
      </c>
      <c r="C14" s="94">
        <v>0</v>
      </c>
    </row>
    <row r="15" spans="1:19" x14ac:dyDescent="0.2">
      <c r="C15" s="28"/>
    </row>
    <row r="16" spans="1:19" x14ac:dyDescent="0.2">
      <c r="B16" s="2" t="s">
        <v>167</v>
      </c>
      <c r="C16" s="108">
        <v>100</v>
      </c>
    </row>
    <row r="17" spans="1:27" x14ac:dyDescent="0.2">
      <c r="B17" s="2" t="s">
        <v>139</v>
      </c>
      <c r="C17" s="25">
        <v>0</v>
      </c>
    </row>
    <row r="18" spans="1:27" s="6" customFormat="1" x14ac:dyDescent="0.2">
      <c r="A18" s="5"/>
      <c r="B18" s="6" t="s">
        <v>138</v>
      </c>
      <c r="C18" s="27">
        <v>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27" x14ac:dyDescent="0.2">
      <c r="B19" s="2" t="s">
        <v>149</v>
      </c>
      <c r="C19" s="25">
        <v>0</v>
      </c>
    </row>
    <row r="20" spans="1:27" x14ac:dyDescent="0.2">
      <c r="B20" s="2" t="s">
        <v>150</v>
      </c>
      <c r="C20" s="25">
        <v>0</v>
      </c>
    </row>
    <row r="21" spans="1:27" x14ac:dyDescent="0.2">
      <c r="A21" s="2"/>
      <c r="B21" s="2" t="s">
        <v>151</v>
      </c>
      <c r="C21" s="25" t="s">
        <v>169</v>
      </c>
      <c r="D21" s="3" t="s">
        <v>19</v>
      </c>
      <c r="F21" s="2"/>
      <c r="G21" s="2"/>
      <c r="H21" s="2"/>
      <c r="I21" s="2"/>
      <c r="J21" s="2"/>
      <c r="K21" s="2"/>
      <c r="L21" s="2"/>
      <c r="M21" s="2"/>
      <c r="Q21" s="2"/>
      <c r="R21" s="2"/>
    </row>
    <row r="22" spans="1:27" x14ac:dyDescent="0.2">
      <c r="A22" s="2"/>
      <c r="C22" s="25"/>
      <c r="D22" s="3"/>
      <c r="F22" s="2"/>
      <c r="G22" s="2"/>
      <c r="H22" s="2"/>
      <c r="I22" s="2"/>
      <c r="J22" s="2"/>
      <c r="K22" s="2"/>
      <c r="L22" s="2"/>
      <c r="M22" s="2"/>
      <c r="Q22" s="2"/>
      <c r="R22" s="2"/>
    </row>
    <row r="23" spans="1:27" x14ac:dyDescent="0.2">
      <c r="A23" s="2"/>
      <c r="B23" s="8" t="s">
        <v>152</v>
      </c>
      <c r="C23" s="25" t="s">
        <v>24</v>
      </c>
      <c r="D23" s="3"/>
      <c r="Q23" s="2"/>
      <c r="R23" s="2"/>
    </row>
    <row r="24" spans="1:27" x14ac:dyDescent="0.2">
      <c r="A24" s="2"/>
      <c r="B24" s="8" t="s">
        <v>153</v>
      </c>
      <c r="C24" s="25" t="s">
        <v>92</v>
      </c>
      <c r="D24" s="26"/>
      <c r="Q24" s="2"/>
      <c r="R24" s="2"/>
    </row>
    <row r="25" spans="1:27" s="33" customFormat="1" x14ac:dyDescent="0.2">
      <c r="A25" s="109"/>
      <c r="B25" s="47" t="s">
        <v>178</v>
      </c>
      <c r="C25" s="27" t="s">
        <v>92</v>
      </c>
      <c r="D25" s="110" t="s">
        <v>179</v>
      </c>
      <c r="Q25" s="111"/>
      <c r="R25" s="111"/>
      <c r="S25" s="111"/>
      <c r="AA25" s="111"/>
    </row>
    <row r="26" spans="1:27" x14ac:dyDescent="0.2">
      <c r="A26" s="2"/>
      <c r="B26" s="2" t="s">
        <v>154</v>
      </c>
      <c r="C26" s="25" t="s">
        <v>14</v>
      </c>
      <c r="D26" s="3"/>
      <c r="Q26" s="2"/>
      <c r="R26" s="2"/>
    </row>
    <row r="27" spans="1:27" x14ac:dyDescent="0.2">
      <c r="A27" s="2"/>
      <c r="B27" s="2" t="s">
        <v>155</v>
      </c>
      <c r="C27" s="25" t="s">
        <v>14</v>
      </c>
      <c r="D27" s="3"/>
      <c r="Q27" s="2"/>
      <c r="R27" s="2"/>
    </row>
    <row r="28" spans="1:27" x14ac:dyDescent="0.2">
      <c r="A28" s="2"/>
      <c r="C28" s="25"/>
      <c r="D28" s="3"/>
      <c r="Q28" s="2"/>
      <c r="R28" s="2"/>
    </row>
    <row r="29" spans="1:27" x14ac:dyDescent="0.2">
      <c r="A29" s="2"/>
      <c r="B29" s="2" t="s">
        <v>16</v>
      </c>
      <c r="C29" s="25" t="s">
        <v>24</v>
      </c>
      <c r="D29" s="3"/>
      <c r="E29" s="3"/>
      <c r="Q29" s="2"/>
      <c r="R29" s="2"/>
    </row>
    <row r="30" spans="1:27" x14ac:dyDescent="0.2">
      <c r="A30" s="2"/>
      <c r="B30" s="2" t="s">
        <v>25</v>
      </c>
      <c r="C30" s="25">
        <v>30</v>
      </c>
      <c r="D30" s="3"/>
      <c r="Q30" s="2"/>
      <c r="R30" s="2"/>
    </row>
    <row r="31" spans="1:27" x14ac:dyDescent="0.2">
      <c r="A31" s="2"/>
      <c r="B31" s="2" t="s">
        <v>195</v>
      </c>
      <c r="C31" s="25">
        <v>30</v>
      </c>
      <c r="D31" s="3"/>
      <c r="Q31" s="2"/>
      <c r="R31" s="2"/>
    </row>
    <row r="32" spans="1:27" x14ac:dyDescent="0.2">
      <c r="A32" s="2"/>
      <c r="B32" s="2" t="s">
        <v>190</v>
      </c>
      <c r="C32" s="25">
        <v>1</v>
      </c>
      <c r="D32" s="3"/>
      <c r="Q32" s="2"/>
      <c r="R32" s="2"/>
    </row>
    <row r="33" spans="1:19" x14ac:dyDescent="0.2">
      <c r="A33" s="2"/>
      <c r="C33" s="25"/>
      <c r="Q33" s="2"/>
      <c r="R33" s="2"/>
    </row>
    <row r="34" spans="1:19" x14ac:dyDescent="0.2">
      <c r="A34" s="2"/>
      <c r="B34" s="2" t="s">
        <v>156</v>
      </c>
      <c r="C34" s="28" t="s">
        <v>24</v>
      </c>
      <c r="F34" s="2"/>
      <c r="G34" s="2"/>
      <c r="H34" s="2"/>
      <c r="I34" s="2"/>
      <c r="J34" s="2"/>
      <c r="K34" s="2"/>
      <c r="L34" s="2"/>
      <c r="M34" s="2"/>
      <c r="Q34" s="2"/>
      <c r="R34" s="2"/>
    </row>
    <row r="35" spans="1:19" x14ac:dyDescent="0.2">
      <c r="A35" s="2"/>
      <c r="B35" s="2" t="s">
        <v>157</v>
      </c>
      <c r="C35" s="28">
        <v>-0.1</v>
      </c>
      <c r="F35" s="2"/>
      <c r="G35" s="2"/>
      <c r="H35" s="2"/>
      <c r="I35" s="2"/>
      <c r="J35" s="2"/>
      <c r="K35" s="2"/>
      <c r="L35" s="2"/>
      <c r="M35" s="2"/>
      <c r="Q35" s="2"/>
      <c r="R35" s="2"/>
    </row>
    <row r="36" spans="1:19" x14ac:dyDescent="0.2">
      <c r="A36" s="2"/>
      <c r="B36" s="2" t="s">
        <v>158</v>
      </c>
      <c r="C36" s="25" t="s">
        <v>92</v>
      </c>
      <c r="Q36" s="2"/>
      <c r="R36" s="2"/>
    </row>
    <row r="37" spans="1:19" x14ac:dyDescent="0.2">
      <c r="B37" s="8"/>
      <c r="C37" s="25"/>
      <c r="Q37" s="2"/>
      <c r="S37" s="1"/>
    </row>
    <row r="38" spans="1:19" s="9" customFormat="1" ht="51" x14ac:dyDescent="0.2">
      <c r="A38" s="9" t="s">
        <v>15</v>
      </c>
      <c r="B38" s="9" t="s">
        <v>10</v>
      </c>
      <c r="C38" s="30" t="s">
        <v>11</v>
      </c>
      <c r="D38" s="17" t="s">
        <v>12</v>
      </c>
      <c r="E38" s="1" t="s">
        <v>27</v>
      </c>
      <c r="F38" s="29" t="s">
        <v>133</v>
      </c>
      <c r="G38" s="22" t="s">
        <v>135</v>
      </c>
      <c r="H38" s="29" t="s">
        <v>136</v>
      </c>
      <c r="I38" s="29" t="s">
        <v>137</v>
      </c>
      <c r="J38" s="29" t="s">
        <v>139</v>
      </c>
      <c r="K38" s="29" t="s">
        <v>140</v>
      </c>
      <c r="L38" s="29" t="s">
        <v>141</v>
      </c>
      <c r="M38" s="29" t="s">
        <v>142</v>
      </c>
      <c r="N38" s="30" t="s">
        <v>143</v>
      </c>
      <c r="O38" s="30" t="s">
        <v>145</v>
      </c>
      <c r="P38" s="30" t="s">
        <v>146</v>
      </c>
      <c r="Q38" s="30" t="s">
        <v>147</v>
      </c>
      <c r="R38" s="30" t="s">
        <v>148</v>
      </c>
      <c r="S38" s="30" t="s">
        <v>25</v>
      </c>
    </row>
    <row r="39" spans="1:19" s="12" customFormat="1" ht="26.25" x14ac:dyDescent="0.25">
      <c r="A39" s="10" t="s">
        <v>21</v>
      </c>
      <c r="B39" s="11" t="s">
        <v>56</v>
      </c>
      <c r="C39" s="18" t="s">
        <v>13</v>
      </c>
      <c r="D39" s="18" t="s">
        <v>13</v>
      </c>
      <c r="E39" s="18" t="s">
        <v>28</v>
      </c>
      <c r="F39" s="19" t="s">
        <v>85</v>
      </c>
      <c r="G39" s="19" t="s">
        <v>26</v>
      </c>
      <c r="H39" s="19" t="s">
        <v>18</v>
      </c>
      <c r="I39" s="19" t="s">
        <v>20</v>
      </c>
      <c r="J39" s="19"/>
      <c r="K39" s="19" t="s">
        <v>37</v>
      </c>
      <c r="L39" s="19"/>
      <c r="M39" s="19"/>
      <c r="N39" s="18" t="s">
        <v>59</v>
      </c>
      <c r="O39" s="18" t="s">
        <v>22</v>
      </c>
      <c r="P39" s="18" t="s">
        <v>22</v>
      </c>
      <c r="Q39" s="18" t="s">
        <v>23</v>
      </c>
      <c r="R39" s="18" t="s">
        <v>23</v>
      </c>
      <c r="S39" s="18"/>
    </row>
    <row r="40" spans="1:19" ht="14.25" x14ac:dyDescent="0.25">
      <c r="A40" s="10"/>
      <c r="B40" s="82" t="s">
        <v>105</v>
      </c>
      <c r="C40" s="83">
        <v>2</v>
      </c>
      <c r="D40" s="83">
        <f>IF(A40="//","0",0)</f>
        <v>0</v>
      </c>
      <c r="E40" s="55" t="s">
        <v>104</v>
      </c>
      <c r="F40" s="83" t="s">
        <v>68</v>
      </c>
      <c r="G40" s="85" t="s">
        <v>24</v>
      </c>
      <c r="H40" s="86">
        <v>0.85</v>
      </c>
      <c r="I40" s="87">
        <v>0</v>
      </c>
      <c r="J40" s="88">
        <v>0</v>
      </c>
      <c r="K40" s="87">
        <v>1</v>
      </c>
      <c r="L40" s="87">
        <v>1.5</v>
      </c>
      <c r="M40" s="87">
        <v>2</v>
      </c>
      <c r="N40" s="83">
        <v>80</v>
      </c>
      <c r="O40" s="83">
        <v>100</v>
      </c>
      <c r="P40" s="83">
        <v>100</v>
      </c>
      <c r="Q40" s="83">
        <v>170</v>
      </c>
      <c r="R40" s="83">
        <v>170</v>
      </c>
      <c r="S40" s="83">
        <v>10</v>
      </c>
    </row>
    <row r="41" spans="1:19" x14ac:dyDescent="0.2">
      <c r="B41" s="82" t="s">
        <v>65</v>
      </c>
      <c r="C41" s="83">
        <v>90</v>
      </c>
      <c r="D41" s="83">
        <f>IF(A41="//","0",0)</f>
        <v>0</v>
      </c>
      <c r="E41" s="103" t="s">
        <v>63</v>
      </c>
      <c r="F41" s="83" t="s">
        <v>68</v>
      </c>
      <c r="G41" s="85" t="s">
        <v>14</v>
      </c>
      <c r="H41" s="86">
        <v>1.1000000000000001</v>
      </c>
      <c r="I41" s="87">
        <v>0</v>
      </c>
      <c r="J41" s="88">
        <v>0</v>
      </c>
      <c r="K41" s="87">
        <v>0.2</v>
      </c>
      <c r="L41" s="87">
        <v>1.5</v>
      </c>
      <c r="M41" s="87">
        <v>2</v>
      </c>
      <c r="N41" s="83">
        <v>80</v>
      </c>
      <c r="O41" s="83">
        <v>100</v>
      </c>
      <c r="P41" s="83">
        <v>100</v>
      </c>
      <c r="Q41" s="83">
        <v>170</v>
      </c>
      <c r="R41" s="83">
        <v>170</v>
      </c>
      <c r="S41" s="83">
        <v>10</v>
      </c>
    </row>
    <row r="42" spans="1:19" ht="13.5" x14ac:dyDescent="0.25">
      <c r="A42" s="10" t="s">
        <v>21</v>
      </c>
      <c r="B42" s="82" t="s">
        <v>124</v>
      </c>
      <c r="C42" s="83">
        <v>2</v>
      </c>
      <c r="D42" s="83">
        <v>0</v>
      </c>
      <c r="E42" s="95" t="s">
        <v>122</v>
      </c>
      <c r="F42" s="83" t="s">
        <v>90</v>
      </c>
      <c r="G42" s="85" t="s">
        <v>14</v>
      </c>
      <c r="H42" s="86">
        <v>1.1000000000000001</v>
      </c>
      <c r="I42" s="87">
        <v>0</v>
      </c>
      <c r="J42" s="88">
        <v>0</v>
      </c>
      <c r="K42" s="87">
        <v>0.6</v>
      </c>
      <c r="L42" s="87">
        <v>1.5</v>
      </c>
      <c r="M42" s="87">
        <v>0</v>
      </c>
      <c r="N42" s="83">
        <v>80</v>
      </c>
      <c r="O42" s="83">
        <v>100</v>
      </c>
      <c r="P42" s="83">
        <v>100</v>
      </c>
      <c r="Q42" s="83">
        <v>170</v>
      </c>
      <c r="R42" s="83">
        <v>170</v>
      </c>
      <c r="S42" s="83">
        <v>5</v>
      </c>
    </row>
    <row r="43" spans="1:19" ht="13.5" x14ac:dyDescent="0.25">
      <c r="A43" s="10"/>
      <c r="B43" s="84" t="str">
        <f t="shared" ref="B43:B49" si="0">"SS-Wet-FCPM - "&amp;FIXED(I43,2)&amp;" A/cm²"</f>
        <v>SS-Wet-FCPM - 0.05 A/cm²</v>
      </c>
      <c r="C43" s="83">
        <v>5</v>
      </c>
      <c r="D43" s="83">
        <v>5</v>
      </c>
      <c r="E43" s="61" t="s">
        <v>47</v>
      </c>
      <c r="F43" s="83" t="s">
        <v>69</v>
      </c>
      <c r="G43" s="85" t="s">
        <v>24</v>
      </c>
      <c r="H43" s="86">
        <v>1.1000000000000001</v>
      </c>
      <c r="I43" s="87">
        <v>0.05</v>
      </c>
      <c r="J43" s="88">
        <v>0</v>
      </c>
      <c r="K43" s="87">
        <v>0.2</v>
      </c>
      <c r="L43" s="87">
        <v>1.5</v>
      </c>
      <c r="M43" s="87">
        <v>2</v>
      </c>
      <c r="N43" s="83">
        <v>80</v>
      </c>
      <c r="O43" s="83">
        <v>100</v>
      </c>
      <c r="P43" s="83">
        <v>100</v>
      </c>
      <c r="Q43" s="83">
        <v>170</v>
      </c>
      <c r="R43" s="83">
        <v>170</v>
      </c>
      <c r="S43" s="83">
        <v>10</v>
      </c>
    </row>
    <row r="44" spans="1:19" ht="13.5" x14ac:dyDescent="0.25">
      <c r="A44" s="10"/>
      <c r="B44" s="84" t="str">
        <f t="shared" si="0"/>
        <v>SS-Wet-FCPM - 0.20 A/cm²</v>
      </c>
      <c r="C44" s="83">
        <v>5</v>
      </c>
      <c r="D44" s="83">
        <v>5</v>
      </c>
      <c r="E44" s="61" t="s">
        <v>47</v>
      </c>
      <c r="F44" s="83"/>
      <c r="G44" s="85"/>
      <c r="H44" s="86"/>
      <c r="I44" s="87">
        <v>0.2</v>
      </c>
      <c r="J44" s="88"/>
      <c r="K44" s="87"/>
      <c r="L44" s="87"/>
      <c r="M44" s="87"/>
      <c r="N44" s="83"/>
      <c r="O44" s="83"/>
      <c r="P44" s="83"/>
      <c r="Q44" s="83"/>
      <c r="R44" s="83"/>
      <c r="S44" s="83"/>
    </row>
    <row r="45" spans="1:19" ht="13.5" x14ac:dyDescent="0.25">
      <c r="A45" s="10"/>
      <c r="B45" s="84" t="str">
        <f t="shared" si="0"/>
        <v>SS-Wet-FCPM - 0.40 A/cm²</v>
      </c>
      <c r="C45" s="83">
        <v>5</v>
      </c>
      <c r="D45" s="83">
        <v>5</v>
      </c>
      <c r="E45" s="61" t="s">
        <v>47</v>
      </c>
      <c r="F45" s="83"/>
      <c r="G45" s="85"/>
      <c r="H45" s="86"/>
      <c r="I45" s="87">
        <v>0.4</v>
      </c>
      <c r="J45" s="88"/>
      <c r="K45" s="87">
        <v>0.4</v>
      </c>
      <c r="L45" s="87"/>
      <c r="M45" s="87"/>
      <c r="N45" s="83"/>
      <c r="O45" s="83"/>
      <c r="P45" s="83"/>
      <c r="Q45" s="83"/>
      <c r="R45" s="83"/>
      <c r="S45" s="83"/>
    </row>
    <row r="46" spans="1:19" ht="13.5" x14ac:dyDescent="0.25">
      <c r="A46" s="10"/>
      <c r="B46" s="84" t="str">
        <f t="shared" si="0"/>
        <v>SS-Wet-FCPM - 0.80 A/cm²</v>
      </c>
      <c r="C46" s="83">
        <v>5</v>
      </c>
      <c r="D46" s="83">
        <v>5</v>
      </c>
      <c r="E46" s="61" t="s">
        <v>47</v>
      </c>
      <c r="F46" s="83"/>
      <c r="G46" s="85"/>
      <c r="H46" s="86"/>
      <c r="I46" s="87">
        <v>0.8</v>
      </c>
      <c r="J46" s="88"/>
      <c r="K46" s="87">
        <v>0.8</v>
      </c>
      <c r="L46" s="87"/>
      <c r="M46" s="87"/>
      <c r="N46" s="83"/>
      <c r="O46" s="83"/>
      <c r="P46" s="83"/>
      <c r="Q46" s="83"/>
      <c r="R46" s="83"/>
      <c r="S46" s="83"/>
    </row>
    <row r="47" spans="1:19" ht="13.5" x14ac:dyDescent="0.25">
      <c r="A47" s="10"/>
      <c r="B47" s="84" t="str">
        <f t="shared" si="0"/>
        <v>SS-Wet-FCPM - 1.00 A/cm²</v>
      </c>
      <c r="C47" s="83">
        <v>5</v>
      </c>
      <c r="D47" s="83">
        <v>5</v>
      </c>
      <c r="E47" s="61" t="s">
        <v>47</v>
      </c>
      <c r="F47" s="83"/>
      <c r="G47" s="85"/>
      <c r="H47" s="86"/>
      <c r="I47" s="87">
        <v>1</v>
      </c>
      <c r="J47" s="88"/>
      <c r="K47" s="87">
        <v>1</v>
      </c>
      <c r="L47" s="87"/>
      <c r="M47" s="87"/>
      <c r="N47" s="83"/>
      <c r="O47" s="83"/>
      <c r="P47" s="83"/>
      <c r="Q47" s="83"/>
      <c r="R47" s="83"/>
      <c r="S47" s="83"/>
    </row>
    <row r="48" spans="1:19" ht="13.5" x14ac:dyDescent="0.25">
      <c r="A48" s="10"/>
      <c r="B48" s="84" t="str">
        <f t="shared" si="0"/>
        <v>SS-Wet-FCPM - 1.20 A/cm²</v>
      </c>
      <c r="C48" s="83">
        <v>5</v>
      </c>
      <c r="D48" s="83">
        <v>5</v>
      </c>
      <c r="E48" s="61" t="s">
        <v>47</v>
      </c>
      <c r="F48" s="83"/>
      <c r="G48" s="85"/>
      <c r="H48" s="86"/>
      <c r="I48" s="87">
        <v>1.2</v>
      </c>
      <c r="J48" s="88"/>
      <c r="K48" s="87">
        <v>1.2</v>
      </c>
      <c r="L48" s="87"/>
      <c r="M48" s="87"/>
      <c r="N48" s="83"/>
      <c r="O48" s="83"/>
      <c r="P48" s="83"/>
      <c r="Q48" s="83"/>
      <c r="R48" s="83"/>
      <c r="S48" s="83"/>
    </row>
    <row r="49" spans="1:19" ht="13.5" x14ac:dyDescent="0.25">
      <c r="A49" s="10"/>
      <c r="B49" s="84" t="str">
        <f t="shared" si="0"/>
        <v>SS-Wet-FCPM - 1.50 A/cm²</v>
      </c>
      <c r="C49" s="83">
        <v>5</v>
      </c>
      <c r="D49" s="83">
        <v>5</v>
      </c>
      <c r="E49" s="61" t="s">
        <v>47</v>
      </c>
      <c r="F49" s="83"/>
      <c r="G49" s="85"/>
      <c r="H49" s="86"/>
      <c r="I49" s="87">
        <v>1.5</v>
      </c>
      <c r="J49" s="88"/>
      <c r="K49" s="87">
        <v>1.5</v>
      </c>
      <c r="L49" s="87"/>
      <c r="M49" s="87"/>
      <c r="N49" s="83"/>
      <c r="O49" s="83"/>
      <c r="P49" s="83"/>
      <c r="Q49" s="83"/>
      <c r="R49" s="83"/>
      <c r="S49" s="83"/>
    </row>
    <row r="50" spans="1:19" s="6" customFormat="1" ht="13.5" x14ac:dyDescent="0.25">
      <c r="A50" s="89"/>
      <c r="B50" s="90"/>
      <c r="C50" s="22"/>
      <c r="D50" s="22"/>
      <c r="E50" s="22"/>
      <c r="F50" s="22"/>
      <c r="G50" s="20"/>
      <c r="H50" s="34"/>
      <c r="I50" s="21"/>
      <c r="J50" s="32"/>
      <c r="K50" s="21"/>
      <c r="L50" s="21"/>
      <c r="M50" s="21"/>
      <c r="N50" s="22"/>
      <c r="O50" s="22"/>
      <c r="P50" s="22"/>
      <c r="Q50" s="22"/>
      <c r="R50" s="22"/>
      <c r="S50" s="22"/>
    </row>
    <row r="51" spans="1:19" x14ac:dyDescent="0.2">
      <c r="A51" s="4" t="s">
        <v>30</v>
      </c>
      <c r="B51" s="52" t="s">
        <v>31</v>
      </c>
      <c r="C51" s="69" t="s">
        <v>104</v>
      </c>
    </row>
    <row r="52" spans="1:19" x14ac:dyDescent="0.2">
      <c r="B52" s="53" t="s">
        <v>8</v>
      </c>
      <c r="C52" s="53" t="s">
        <v>96</v>
      </c>
    </row>
    <row r="53" spans="1:19" x14ac:dyDescent="0.2">
      <c r="B53" s="53" t="s">
        <v>45</v>
      </c>
      <c r="C53" s="53" t="s">
        <v>33</v>
      </c>
    </row>
    <row r="54" spans="1:19" x14ac:dyDescent="0.2">
      <c r="A54" s="2"/>
      <c r="B54" s="53" t="s">
        <v>17</v>
      </c>
      <c r="C54" s="53">
        <v>1800</v>
      </c>
      <c r="F54" s="2"/>
      <c r="G54" s="2"/>
      <c r="H54" s="2"/>
      <c r="I54" s="2"/>
      <c r="J54" s="2"/>
      <c r="K54" s="2"/>
      <c r="L54" s="2"/>
      <c r="M54" s="2"/>
      <c r="Q54" s="2"/>
      <c r="R54" s="2"/>
    </row>
    <row r="55" spans="1:19" x14ac:dyDescent="0.2">
      <c r="A55" s="2"/>
      <c r="B55" s="53" t="s">
        <v>34</v>
      </c>
      <c r="C55" s="53" t="s">
        <v>97</v>
      </c>
      <c r="F55" s="2"/>
      <c r="G55" s="2"/>
      <c r="H55" s="2"/>
      <c r="I55" s="2"/>
      <c r="J55" s="2"/>
      <c r="K55" s="2"/>
      <c r="L55" s="2"/>
      <c r="M55" s="2"/>
      <c r="Q55" s="2"/>
      <c r="R55" s="2"/>
    </row>
    <row r="56" spans="1:19" x14ac:dyDescent="0.2">
      <c r="A56" s="2"/>
      <c r="B56" s="53" t="s">
        <v>98</v>
      </c>
      <c r="C56" s="54" t="s">
        <v>161</v>
      </c>
      <c r="F56" s="2"/>
      <c r="G56" s="2"/>
      <c r="H56" s="2"/>
      <c r="I56" s="2"/>
      <c r="J56" s="2"/>
      <c r="K56" s="2"/>
      <c r="L56" s="2"/>
      <c r="M56" s="2"/>
      <c r="Q56" s="2"/>
      <c r="R56" s="2"/>
    </row>
    <row r="57" spans="1:19" x14ac:dyDescent="0.2">
      <c r="A57" s="2"/>
      <c r="B57" s="53" t="s">
        <v>99</v>
      </c>
      <c r="C57" s="54" t="s">
        <v>144</v>
      </c>
      <c r="F57" s="2"/>
      <c r="G57" s="2"/>
      <c r="H57" s="2"/>
      <c r="I57" s="2"/>
      <c r="J57" s="2"/>
      <c r="K57" s="2"/>
      <c r="L57" s="2"/>
      <c r="M57" s="2"/>
      <c r="Q57" s="2"/>
      <c r="R57" s="2"/>
    </row>
    <row r="58" spans="1:19" x14ac:dyDescent="0.2">
      <c r="A58" s="2"/>
      <c r="B58" s="53" t="s">
        <v>100</v>
      </c>
      <c r="C58" s="53">
        <v>0.2</v>
      </c>
      <c r="F58" s="2"/>
      <c r="G58" s="2"/>
      <c r="H58" s="2"/>
      <c r="I58" s="2"/>
      <c r="J58" s="2"/>
      <c r="K58" s="2"/>
      <c r="L58" s="2"/>
      <c r="M58" s="2"/>
      <c r="Q58" s="2"/>
      <c r="R58" s="2"/>
    </row>
    <row r="59" spans="1:19" x14ac:dyDescent="0.2">
      <c r="A59" s="2"/>
      <c r="B59" s="53" t="s">
        <v>101</v>
      </c>
      <c r="C59" s="53">
        <v>60</v>
      </c>
      <c r="F59" s="2"/>
      <c r="G59" s="2"/>
      <c r="H59" s="2"/>
      <c r="I59" s="2"/>
      <c r="J59" s="2"/>
      <c r="K59" s="2"/>
      <c r="L59" s="2"/>
      <c r="M59" s="2"/>
      <c r="Q59" s="2"/>
      <c r="R59" s="2"/>
    </row>
    <row r="60" spans="1:19" x14ac:dyDescent="0.2">
      <c r="A60" s="2"/>
      <c r="B60" s="53" t="s">
        <v>34</v>
      </c>
      <c r="C60" s="53" t="s">
        <v>97</v>
      </c>
      <c r="F60" s="2"/>
      <c r="G60" s="2"/>
      <c r="H60" s="2"/>
      <c r="I60" s="2"/>
      <c r="J60" s="2"/>
      <c r="K60" s="2"/>
      <c r="L60" s="2"/>
      <c r="M60" s="2"/>
      <c r="Q60" s="2"/>
      <c r="R60" s="2"/>
    </row>
    <row r="61" spans="1:19" x14ac:dyDescent="0.2">
      <c r="A61" s="2"/>
      <c r="B61" s="53" t="s">
        <v>98</v>
      </c>
      <c r="C61" s="54" t="s">
        <v>162</v>
      </c>
      <c r="F61" s="2"/>
      <c r="G61" s="2"/>
      <c r="H61" s="2"/>
      <c r="I61" s="2"/>
      <c r="J61" s="2"/>
      <c r="K61" s="2"/>
      <c r="L61" s="2"/>
      <c r="M61" s="2"/>
      <c r="Q61" s="2"/>
      <c r="R61" s="2"/>
    </row>
    <row r="62" spans="1:19" x14ac:dyDescent="0.2">
      <c r="A62" s="2"/>
      <c r="B62" s="53" t="s">
        <v>99</v>
      </c>
      <c r="C62" s="54" t="s">
        <v>159</v>
      </c>
      <c r="F62" s="2"/>
      <c r="G62" s="2"/>
      <c r="H62" s="2"/>
      <c r="I62" s="2"/>
      <c r="J62" s="2"/>
      <c r="K62" s="2"/>
      <c r="L62" s="2"/>
      <c r="M62" s="2"/>
      <c r="Q62" s="2"/>
      <c r="R62" s="2"/>
    </row>
    <row r="63" spans="1:19" x14ac:dyDescent="0.2">
      <c r="A63" s="2"/>
      <c r="B63" s="53" t="s">
        <v>100</v>
      </c>
      <c r="C63" s="53">
        <v>0.2</v>
      </c>
      <c r="F63" s="2"/>
      <c r="G63" s="2"/>
      <c r="H63" s="2"/>
      <c r="I63" s="2"/>
      <c r="J63" s="2"/>
      <c r="K63" s="2"/>
      <c r="L63" s="2"/>
      <c r="M63" s="2"/>
      <c r="Q63" s="2"/>
      <c r="R63" s="2"/>
    </row>
    <row r="64" spans="1:19" x14ac:dyDescent="0.2">
      <c r="A64" s="2"/>
      <c r="B64" s="53" t="s">
        <v>101</v>
      </c>
      <c r="C64" s="53">
        <v>60</v>
      </c>
      <c r="F64" s="2"/>
      <c r="G64" s="2"/>
      <c r="H64" s="2"/>
      <c r="I64" s="2"/>
      <c r="J64" s="2"/>
      <c r="K64" s="2"/>
      <c r="L64" s="2"/>
      <c r="M64" s="2"/>
      <c r="Q64" s="2"/>
      <c r="R64" s="2"/>
    </row>
    <row r="65" spans="1:18" x14ac:dyDescent="0.2">
      <c r="A65" s="2"/>
      <c r="B65" s="53" t="s">
        <v>34</v>
      </c>
      <c r="C65" s="53" t="s">
        <v>97</v>
      </c>
      <c r="F65" s="2"/>
      <c r="G65" s="2"/>
      <c r="H65" s="2"/>
      <c r="I65" s="2"/>
      <c r="J65" s="2"/>
      <c r="K65" s="2"/>
      <c r="L65" s="2"/>
      <c r="M65" s="2"/>
      <c r="Q65" s="2"/>
      <c r="R65" s="2"/>
    </row>
    <row r="66" spans="1:18" x14ac:dyDescent="0.2">
      <c r="A66" s="2"/>
      <c r="B66" s="53" t="s">
        <v>98</v>
      </c>
      <c r="C66" s="54" t="s">
        <v>163</v>
      </c>
      <c r="F66" s="2"/>
      <c r="G66" s="2"/>
      <c r="H66" s="2"/>
      <c r="I66" s="2"/>
      <c r="J66" s="2"/>
      <c r="K66" s="2"/>
      <c r="L66" s="2"/>
      <c r="M66" s="2"/>
      <c r="Q66" s="2"/>
      <c r="R66" s="2"/>
    </row>
    <row r="67" spans="1:18" x14ac:dyDescent="0.2">
      <c r="A67" s="2"/>
      <c r="B67" s="53" t="s">
        <v>99</v>
      </c>
      <c r="C67" s="54" t="s">
        <v>160</v>
      </c>
      <c r="F67" s="2"/>
      <c r="G67" s="2"/>
      <c r="H67" s="2"/>
      <c r="I67" s="2"/>
      <c r="J67" s="2"/>
      <c r="K67" s="2"/>
      <c r="L67" s="2"/>
      <c r="M67" s="2"/>
      <c r="Q67" s="2"/>
      <c r="R67" s="2"/>
    </row>
    <row r="68" spans="1:18" x14ac:dyDescent="0.2">
      <c r="A68" s="2"/>
      <c r="B68" s="53" t="s">
        <v>100</v>
      </c>
      <c r="C68" s="53">
        <v>0.2</v>
      </c>
      <c r="F68" s="2"/>
      <c r="G68" s="2"/>
      <c r="H68" s="2"/>
      <c r="I68" s="2"/>
      <c r="J68" s="2"/>
      <c r="K68" s="2"/>
      <c r="L68" s="2"/>
      <c r="M68" s="2"/>
      <c r="Q68" s="2"/>
      <c r="R68" s="2"/>
    </row>
    <row r="69" spans="1:18" x14ac:dyDescent="0.2">
      <c r="A69" s="2"/>
      <c r="B69" s="53" t="s">
        <v>101</v>
      </c>
      <c r="C69" s="53">
        <v>60</v>
      </c>
      <c r="F69" s="2"/>
      <c r="G69" s="2"/>
      <c r="H69" s="2"/>
      <c r="I69" s="2"/>
      <c r="J69" s="2"/>
      <c r="K69" s="2"/>
      <c r="L69" s="2"/>
      <c r="M69" s="2"/>
      <c r="Q69" s="2"/>
      <c r="R69" s="2"/>
    </row>
    <row r="71" spans="1:18" x14ac:dyDescent="0.2">
      <c r="A71" s="4" t="s">
        <v>30</v>
      </c>
      <c r="B71" s="92" t="s">
        <v>31</v>
      </c>
      <c r="C71" s="104" t="s">
        <v>63</v>
      </c>
      <c r="F71" s="2"/>
      <c r="G71" s="2"/>
      <c r="H71" s="2"/>
      <c r="I71" s="2"/>
      <c r="J71" s="2"/>
      <c r="K71" s="2"/>
      <c r="L71" s="2"/>
      <c r="M71" s="2"/>
    </row>
    <row r="72" spans="1:18" x14ac:dyDescent="0.2">
      <c r="B72" s="92"/>
      <c r="C72" s="104"/>
      <c r="F72" s="2"/>
      <c r="G72" s="2"/>
      <c r="H72" s="2"/>
      <c r="I72" s="2"/>
      <c r="J72" s="2"/>
      <c r="K72" s="2"/>
      <c r="L72" s="2"/>
      <c r="M72" s="2"/>
    </row>
    <row r="73" spans="1:18" x14ac:dyDescent="0.2">
      <c r="A73" s="2"/>
      <c r="B73" s="104" t="s">
        <v>8</v>
      </c>
      <c r="C73" s="105" t="s">
        <v>9</v>
      </c>
      <c r="F73" s="2"/>
      <c r="G73" s="2"/>
      <c r="H73" s="2"/>
      <c r="I73" s="2"/>
      <c r="J73" s="2"/>
      <c r="K73" s="2"/>
      <c r="L73" s="2"/>
      <c r="M73" s="2"/>
    </row>
    <row r="74" spans="1:18" x14ac:dyDescent="0.2">
      <c r="A74" s="2"/>
      <c r="B74" s="104" t="s">
        <v>17</v>
      </c>
      <c r="C74" s="105">
        <v>60</v>
      </c>
      <c r="F74" s="2"/>
      <c r="G74" s="2"/>
      <c r="H74" s="2"/>
      <c r="I74" s="2"/>
      <c r="J74" s="2"/>
      <c r="K74" s="2"/>
      <c r="L74" s="2"/>
      <c r="M74" s="2"/>
    </row>
    <row r="75" spans="1:18" x14ac:dyDescent="0.2">
      <c r="B75" s="106" t="s">
        <v>25</v>
      </c>
      <c r="C75" s="105">
        <v>1</v>
      </c>
      <c r="F75" s="2"/>
      <c r="G75" s="2"/>
      <c r="H75" s="2"/>
      <c r="I75" s="2"/>
      <c r="J75" s="2"/>
      <c r="K75" s="2"/>
      <c r="L75" s="2"/>
      <c r="M75" s="2"/>
    </row>
    <row r="76" spans="1:18" x14ac:dyDescent="0.2">
      <c r="A76" s="2"/>
      <c r="B76" s="106" t="s">
        <v>195</v>
      </c>
      <c r="C76" s="105">
        <v>1</v>
      </c>
      <c r="F76" s="2"/>
      <c r="G76" s="2"/>
      <c r="H76" s="2"/>
      <c r="I76" s="2"/>
      <c r="J76" s="2"/>
      <c r="K76" s="2"/>
      <c r="L76" s="2"/>
      <c r="M76" s="2"/>
    </row>
    <row r="77" spans="1:18" x14ac:dyDescent="0.2">
      <c r="A77" s="2"/>
      <c r="B77" s="104"/>
      <c r="C77" s="104"/>
      <c r="F77" s="2"/>
      <c r="G77" s="2"/>
      <c r="H77" s="2"/>
      <c r="I77" s="2"/>
      <c r="J77" s="2"/>
      <c r="K77" s="2"/>
      <c r="L77" s="2"/>
      <c r="M77" s="2"/>
    </row>
    <row r="78" spans="1:18" x14ac:dyDescent="0.2">
      <c r="A78" s="2"/>
      <c r="B78" s="104" t="s">
        <v>8</v>
      </c>
      <c r="C78" s="105" t="s">
        <v>9</v>
      </c>
      <c r="F78" s="2"/>
      <c r="G78" s="2"/>
      <c r="H78" s="2"/>
      <c r="I78" s="2"/>
      <c r="J78" s="2"/>
      <c r="K78" s="2"/>
      <c r="L78" s="2"/>
      <c r="M78" s="2"/>
    </row>
    <row r="79" spans="1:18" x14ac:dyDescent="0.2">
      <c r="A79" s="2"/>
      <c r="B79" s="104" t="s">
        <v>17</v>
      </c>
      <c r="C79" s="105">
        <v>1</v>
      </c>
      <c r="F79" s="2"/>
      <c r="G79" s="2"/>
      <c r="H79" s="2"/>
      <c r="I79" s="2"/>
      <c r="J79" s="2"/>
      <c r="K79" s="2"/>
      <c r="L79" s="2"/>
      <c r="M79" s="2"/>
    </row>
    <row r="80" spans="1:18" x14ac:dyDescent="0.2">
      <c r="A80" s="2"/>
      <c r="B80" s="106" t="s">
        <v>194</v>
      </c>
      <c r="C80" s="107" t="s">
        <v>92</v>
      </c>
      <c r="F80" s="2"/>
      <c r="G80" s="2"/>
      <c r="H80" s="2"/>
      <c r="I80" s="2"/>
      <c r="J80" s="2"/>
      <c r="K80" s="2"/>
      <c r="L80" s="2"/>
      <c r="M80" s="2"/>
    </row>
    <row r="81" spans="1:18" x14ac:dyDescent="0.2">
      <c r="A81" s="2"/>
      <c r="F81" s="2"/>
      <c r="G81" s="2"/>
      <c r="H81" s="2"/>
      <c r="I81" s="2"/>
      <c r="J81" s="2"/>
      <c r="K81" s="2"/>
      <c r="L81" s="2"/>
      <c r="M81" s="2"/>
    </row>
    <row r="82" spans="1:18" x14ac:dyDescent="0.2">
      <c r="A82" s="5" t="s">
        <v>30</v>
      </c>
      <c r="B82" s="96" t="s">
        <v>31</v>
      </c>
      <c r="C82" s="100" t="s">
        <v>122</v>
      </c>
      <c r="D82" s="6"/>
      <c r="E82" s="6"/>
      <c r="F82" s="2"/>
      <c r="G82" s="2"/>
      <c r="H82" s="2"/>
      <c r="I82" s="2"/>
      <c r="J82" s="2"/>
      <c r="K82" s="2"/>
      <c r="L82" s="2"/>
      <c r="M82" s="2"/>
      <c r="Q82" s="2"/>
      <c r="R82" s="2"/>
    </row>
    <row r="83" spans="1:18" x14ac:dyDescent="0.2">
      <c r="A83" s="5"/>
      <c r="B83" s="97" t="s">
        <v>8</v>
      </c>
      <c r="C83" s="97" t="s">
        <v>9</v>
      </c>
      <c r="D83" s="16"/>
      <c r="E83" s="6"/>
      <c r="F83" s="2"/>
      <c r="G83" s="2"/>
      <c r="H83" s="2"/>
      <c r="I83" s="2"/>
      <c r="J83" s="2"/>
      <c r="K83" s="2"/>
      <c r="L83" s="2"/>
      <c r="M83" s="2"/>
      <c r="Q83" s="2"/>
      <c r="R83" s="2"/>
    </row>
    <row r="84" spans="1:18" x14ac:dyDescent="0.2">
      <c r="A84" s="5"/>
      <c r="B84" s="97" t="s">
        <v>17</v>
      </c>
      <c r="C84" s="97">
        <v>1</v>
      </c>
      <c r="D84" s="16"/>
      <c r="E84" s="6"/>
      <c r="F84" s="2"/>
      <c r="G84" s="2"/>
      <c r="H84" s="2"/>
      <c r="I84" s="2"/>
      <c r="J84" s="2"/>
      <c r="K84" s="2"/>
      <c r="L84" s="2"/>
      <c r="M84" s="2"/>
      <c r="Q84" s="2"/>
      <c r="R84" s="2"/>
    </row>
    <row r="85" spans="1:18" x14ac:dyDescent="0.2">
      <c r="A85" s="5"/>
      <c r="B85" s="97" t="s">
        <v>125</v>
      </c>
      <c r="C85" s="101" t="s">
        <v>48</v>
      </c>
      <c r="D85" s="6"/>
      <c r="E85" s="6"/>
      <c r="F85" s="2"/>
      <c r="G85" s="2"/>
      <c r="H85" s="2"/>
      <c r="I85" s="2"/>
      <c r="J85" s="2"/>
      <c r="K85" s="2"/>
      <c r="L85" s="2"/>
      <c r="M85" s="2"/>
      <c r="Q85" s="2"/>
      <c r="R85" s="2"/>
    </row>
    <row r="86" spans="1:18" x14ac:dyDescent="0.2">
      <c r="A86" s="5"/>
      <c r="B86" s="96"/>
      <c r="C86" s="100"/>
      <c r="D86" s="6"/>
      <c r="E86" s="6"/>
      <c r="F86" s="2"/>
      <c r="G86" s="2"/>
      <c r="H86" s="2"/>
      <c r="I86" s="2"/>
      <c r="J86" s="2"/>
      <c r="K86" s="2"/>
      <c r="L86" s="2"/>
      <c r="M86" s="2"/>
      <c r="Q86" s="2"/>
      <c r="R86" s="2"/>
    </row>
    <row r="87" spans="1:18" x14ac:dyDescent="0.2">
      <c r="A87" s="5"/>
      <c r="B87" s="97" t="s">
        <v>8</v>
      </c>
      <c r="C87" s="97" t="s">
        <v>32</v>
      </c>
      <c r="D87" s="6"/>
      <c r="E87" s="6"/>
      <c r="F87" s="2"/>
      <c r="G87" s="2"/>
      <c r="H87" s="2"/>
      <c r="I87" s="2"/>
      <c r="J87" s="2"/>
      <c r="K87" s="2"/>
      <c r="L87" s="2"/>
      <c r="M87" s="2"/>
      <c r="Q87" s="2"/>
      <c r="R87" s="2"/>
    </row>
    <row r="88" spans="1:18" x14ac:dyDescent="0.2">
      <c r="A88" s="5"/>
      <c r="B88" s="97" t="s">
        <v>45</v>
      </c>
      <c r="C88" s="97" t="s">
        <v>46</v>
      </c>
      <c r="D88" s="6"/>
      <c r="E88" s="6"/>
      <c r="F88" s="2"/>
      <c r="G88" s="2"/>
      <c r="H88" s="2"/>
      <c r="I88" s="2"/>
      <c r="J88" s="2"/>
      <c r="K88" s="2"/>
      <c r="L88" s="2"/>
      <c r="M88" s="2"/>
      <c r="Q88" s="2"/>
      <c r="R88" s="2"/>
    </row>
    <row r="89" spans="1:18" x14ac:dyDescent="0.2">
      <c r="A89" s="5"/>
      <c r="B89" s="97" t="s">
        <v>17</v>
      </c>
      <c r="C89" s="97">
        <v>600</v>
      </c>
      <c r="D89" s="16"/>
      <c r="E89" s="6"/>
      <c r="F89" s="2"/>
      <c r="G89" s="2"/>
      <c r="H89" s="2"/>
      <c r="I89" s="2"/>
      <c r="J89" s="2"/>
      <c r="K89" s="2"/>
      <c r="L89" s="2"/>
      <c r="M89" s="2"/>
      <c r="Q89" s="2"/>
      <c r="R89" s="2"/>
    </row>
    <row r="90" spans="1:18" x14ac:dyDescent="0.2">
      <c r="A90" s="5"/>
      <c r="B90" s="97" t="s">
        <v>34</v>
      </c>
      <c r="C90" s="97" t="s">
        <v>41</v>
      </c>
      <c r="D90" s="6"/>
      <c r="E90" s="6"/>
      <c r="F90" s="2"/>
      <c r="G90" s="2"/>
      <c r="H90" s="2"/>
      <c r="I90" s="2"/>
      <c r="J90" s="2"/>
      <c r="K90" s="2"/>
      <c r="L90" s="2"/>
      <c r="M90" s="2"/>
      <c r="Q90" s="2"/>
      <c r="R90" s="2"/>
    </row>
    <row r="91" spans="1:18" x14ac:dyDescent="0.2">
      <c r="A91" s="5"/>
      <c r="B91" s="97" t="s">
        <v>164</v>
      </c>
      <c r="C91" s="98">
        <v>0.1</v>
      </c>
      <c r="D91" s="6"/>
      <c r="E91" s="6"/>
      <c r="F91" s="2"/>
      <c r="G91" s="2"/>
      <c r="H91" s="2"/>
      <c r="I91" s="2"/>
      <c r="J91" s="2"/>
      <c r="K91" s="2"/>
      <c r="L91" s="2"/>
      <c r="M91" s="2"/>
      <c r="Q91" s="2"/>
      <c r="R91" s="2"/>
    </row>
    <row r="92" spans="1:18" x14ac:dyDescent="0.2">
      <c r="A92" s="5"/>
      <c r="B92" s="96"/>
      <c r="C92" s="97"/>
      <c r="D92" s="6"/>
      <c r="E92" s="6"/>
      <c r="F92" s="2"/>
      <c r="G92" s="2"/>
      <c r="H92" s="2"/>
      <c r="I92" s="2"/>
      <c r="J92" s="2"/>
      <c r="K92" s="2"/>
      <c r="L92" s="2"/>
      <c r="M92" s="2"/>
      <c r="Q92" s="2"/>
      <c r="R92" s="2"/>
    </row>
    <row r="93" spans="1:18" x14ac:dyDescent="0.2">
      <c r="A93" s="5"/>
      <c r="B93" s="97" t="s">
        <v>8</v>
      </c>
      <c r="C93" s="97" t="s">
        <v>9</v>
      </c>
      <c r="D93" s="16"/>
      <c r="E93" s="6"/>
      <c r="F93" s="2"/>
      <c r="G93" s="2"/>
      <c r="H93" s="2"/>
      <c r="I93" s="2"/>
      <c r="J93" s="2"/>
      <c r="K93" s="2"/>
      <c r="L93" s="2"/>
      <c r="M93" s="2"/>
      <c r="Q93" s="2"/>
      <c r="R93" s="2"/>
    </row>
    <row r="94" spans="1:18" x14ac:dyDescent="0.2">
      <c r="A94" s="5"/>
      <c r="B94" s="97" t="s">
        <v>17</v>
      </c>
      <c r="C94" s="97">
        <v>5</v>
      </c>
      <c r="D94" s="16"/>
      <c r="E94" s="6"/>
      <c r="F94" s="2"/>
      <c r="G94" s="2"/>
      <c r="H94" s="2"/>
      <c r="I94" s="2"/>
      <c r="J94" s="2"/>
      <c r="K94" s="2"/>
      <c r="L94" s="2"/>
      <c r="M94" s="2"/>
      <c r="Q94" s="2"/>
      <c r="R94" s="2"/>
    </row>
    <row r="95" spans="1:18" x14ac:dyDescent="0.2">
      <c r="A95" s="2"/>
      <c r="B95" s="97" t="s">
        <v>142</v>
      </c>
      <c r="C95" s="97">
        <v>2</v>
      </c>
      <c r="D95" s="16"/>
      <c r="E95" s="6"/>
      <c r="F95" s="2"/>
      <c r="G95" s="2"/>
      <c r="H95" s="2"/>
      <c r="I95" s="2"/>
      <c r="J95" s="2"/>
      <c r="K95" s="2"/>
      <c r="L95" s="2"/>
      <c r="M95" s="2"/>
      <c r="Q95" s="2"/>
      <c r="R95" s="2"/>
    </row>
    <row r="96" spans="1:18" x14ac:dyDescent="0.2">
      <c r="A96" s="5"/>
      <c r="B96" s="96"/>
      <c r="C96" s="97"/>
      <c r="D96" s="6"/>
      <c r="E96" s="6"/>
      <c r="F96" s="2"/>
      <c r="G96" s="2"/>
      <c r="H96" s="2"/>
      <c r="I96" s="2"/>
      <c r="J96" s="2"/>
      <c r="K96" s="2"/>
      <c r="L96" s="2"/>
      <c r="M96" s="2"/>
      <c r="Q96" s="2"/>
      <c r="R96" s="2"/>
    </row>
    <row r="97" spans="1:18" x14ac:dyDescent="0.2">
      <c r="A97" s="5"/>
      <c r="B97" s="97" t="s">
        <v>8</v>
      </c>
      <c r="C97" s="97" t="s">
        <v>9</v>
      </c>
      <c r="D97" s="16"/>
      <c r="E97" s="6"/>
      <c r="F97" s="2"/>
      <c r="G97" s="2"/>
      <c r="H97" s="2"/>
      <c r="I97" s="2"/>
      <c r="J97" s="2"/>
      <c r="K97" s="2"/>
      <c r="L97" s="2"/>
      <c r="M97" s="2"/>
      <c r="Q97" s="2"/>
      <c r="R97" s="2"/>
    </row>
    <row r="98" spans="1:18" x14ac:dyDescent="0.2">
      <c r="A98" s="5"/>
      <c r="B98" s="97" t="s">
        <v>17</v>
      </c>
      <c r="C98" s="97">
        <v>1</v>
      </c>
      <c r="D98" s="16"/>
      <c r="E98" s="6"/>
      <c r="F98" s="2"/>
      <c r="G98" s="2"/>
      <c r="H98" s="2"/>
      <c r="I98" s="2"/>
      <c r="J98" s="2"/>
      <c r="K98" s="2"/>
      <c r="L98" s="2"/>
      <c r="M98" s="2"/>
      <c r="Q98" s="2"/>
      <c r="R98" s="2"/>
    </row>
    <row r="99" spans="1:18" x14ac:dyDescent="0.2">
      <c r="A99" s="5"/>
      <c r="B99" s="97" t="s">
        <v>125</v>
      </c>
      <c r="C99" s="101" t="s">
        <v>92</v>
      </c>
      <c r="D99" s="6"/>
      <c r="E99" s="6"/>
      <c r="F99" s="2"/>
      <c r="G99" s="2"/>
      <c r="H99" s="2"/>
      <c r="I99" s="2"/>
      <c r="J99" s="2"/>
      <c r="K99" s="2"/>
      <c r="L99" s="2"/>
      <c r="M99" s="2"/>
      <c r="Q99" s="2"/>
      <c r="R99" s="2"/>
    </row>
    <row r="100" spans="1:18" s="6" customFormat="1" x14ac:dyDescent="0.2">
      <c r="A100" s="5"/>
      <c r="Q100" s="22"/>
      <c r="R100" s="22"/>
    </row>
    <row r="101" spans="1:18" x14ac:dyDescent="0.2">
      <c r="A101" s="5" t="s">
        <v>30</v>
      </c>
      <c r="B101" s="57" t="s">
        <v>31</v>
      </c>
      <c r="C101" s="58" t="s">
        <v>47</v>
      </c>
      <c r="D101" s="6"/>
      <c r="E101" s="6"/>
      <c r="F101" s="2"/>
      <c r="G101" s="2"/>
      <c r="H101" s="2"/>
      <c r="I101" s="2"/>
      <c r="J101" s="2"/>
      <c r="K101" s="2"/>
      <c r="L101" s="2"/>
      <c r="M101" s="2"/>
      <c r="Q101" s="2"/>
      <c r="R101" s="2"/>
    </row>
    <row r="102" spans="1:18" x14ac:dyDescent="0.2">
      <c r="A102" s="5"/>
      <c r="B102" s="58" t="s">
        <v>8</v>
      </c>
      <c r="C102" s="58" t="s">
        <v>32</v>
      </c>
      <c r="D102" s="6"/>
      <c r="E102" s="6"/>
      <c r="F102" s="2"/>
      <c r="G102" s="2"/>
      <c r="H102" s="2"/>
      <c r="I102" s="2"/>
      <c r="J102" s="2"/>
      <c r="K102" s="2"/>
      <c r="L102" s="2"/>
      <c r="M102" s="2"/>
      <c r="Q102" s="2"/>
      <c r="R102" s="2"/>
    </row>
    <row r="103" spans="1:18" x14ac:dyDescent="0.2">
      <c r="A103" s="5"/>
      <c r="B103" s="58" t="s">
        <v>45</v>
      </c>
      <c r="C103" s="58" t="s">
        <v>46</v>
      </c>
      <c r="D103" s="6"/>
      <c r="E103" s="6"/>
      <c r="F103" s="2"/>
      <c r="G103" s="2"/>
      <c r="H103" s="2"/>
      <c r="I103" s="2"/>
      <c r="J103" s="2"/>
      <c r="K103" s="2"/>
      <c r="L103" s="2"/>
      <c r="M103" s="2"/>
      <c r="Q103" s="2"/>
      <c r="R103" s="2"/>
    </row>
    <row r="104" spans="1:18" x14ac:dyDescent="0.2">
      <c r="A104" s="5"/>
      <c r="B104" s="58" t="s">
        <v>17</v>
      </c>
      <c r="C104" s="58">
        <f>LEFT(D104,3)*1</f>
        <v>180</v>
      </c>
      <c r="D104" s="16" t="s">
        <v>55</v>
      </c>
      <c r="E104" s="6"/>
      <c r="F104" s="2"/>
      <c r="G104" s="2"/>
      <c r="H104" s="2"/>
      <c r="I104" s="2"/>
      <c r="J104" s="2"/>
      <c r="K104" s="2"/>
      <c r="L104" s="2"/>
      <c r="M104" s="2"/>
      <c r="Q104" s="2"/>
      <c r="R104" s="2"/>
    </row>
    <row r="105" spans="1:18" x14ac:dyDescent="0.2">
      <c r="A105" s="5"/>
      <c r="B105" s="58" t="s">
        <v>34</v>
      </c>
      <c r="C105" s="58" t="s">
        <v>41</v>
      </c>
      <c r="D105" s="6"/>
      <c r="E105" s="6"/>
      <c r="F105" s="2"/>
      <c r="G105" s="2"/>
      <c r="H105" s="2"/>
      <c r="I105" s="2"/>
      <c r="J105" s="2"/>
      <c r="K105" s="2"/>
      <c r="L105" s="2"/>
      <c r="M105" s="2"/>
      <c r="Q105" s="2"/>
      <c r="R105" s="2"/>
    </row>
    <row r="106" spans="1:18" x14ac:dyDescent="0.2">
      <c r="A106" s="5"/>
      <c r="B106" s="58" t="s">
        <v>164</v>
      </c>
      <c r="C106" s="59">
        <v>0.2</v>
      </c>
      <c r="D106" s="6"/>
      <c r="E106" s="6"/>
      <c r="F106" s="2"/>
      <c r="G106" s="2"/>
      <c r="H106" s="2"/>
      <c r="I106" s="2"/>
      <c r="J106" s="2"/>
      <c r="K106" s="2"/>
      <c r="L106" s="2"/>
      <c r="M106" s="2"/>
      <c r="Q106" s="2"/>
      <c r="R106" s="2"/>
    </row>
    <row r="107" spans="1:18" x14ac:dyDescent="0.2">
      <c r="A107" s="5"/>
      <c r="B107" s="58" t="s">
        <v>34</v>
      </c>
      <c r="C107" s="58" t="s">
        <v>42</v>
      </c>
      <c r="D107" s="6"/>
      <c r="E107" s="6"/>
      <c r="F107" s="2"/>
      <c r="G107" s="2"/>
      <c r="H107" s="2"/>
      <c r="I107" s="2"/>
      <c r="J107" s="2"/>
      <c r="K107" s="2"/>
      <c r="L107" s="2"/>
      <c r="M107" s="2"/>
      <c r="Q107" s="2"/>
      <c r="R107" s="2"/>
    </row>
    <row r="108" spans="1:18" x14ac:dyDescent="0.2">
      <c r="A108" s="5"/>
      <c r="B108" s="58" t="s">
        <v>135</v>
      </c>
      <c r="C108" s="60" t="s">
        <v>14</v>
      </c>
      <c r="D108" s="6"/>
      <c r="E108" s="6"/>
      <c r="F108" s="2"/>
      <c r="G108" s="2"/>
      <c r="H108" s="2"/>
      <c r="I108" s="2"/>
      <c r="J108" s="2"/>
      <c r="K108" s="2"/>
      <c r="L108" s="2"/>
      <c r="M108" s="2"/>
      <c r="Q108" s="2"/>
      <c r="R108" s="2"/>
    </row>
    <row r="109" spans="1:18" x14ac:dyDescent="0.2">
      <c r="A109" s="5"/>
      <c r="B109" s="57"/>
      <c r="C109" s="58"/>
      <c r="D109" s="6"/>
      <c r="E109" s="6"/>
      <c r="F109" s="2"/>
      <c r="G109" s="2"/>
      <c r="H109" s="2"/>
      <c r="I109" s="2"/>
      <c r="J109" s="2"/>
      <c r="K109" s="2"/>
      <c r="L109" s="2"/>
      <c r="M109" s="2"/>
      <c r="Q109" s="2"/>
      <c r="R109" s="2"/>
    </row>
    <row r="110" spans="1:18" x14ac:dyDescent="0.2">
      <c r="A110" s="5"/>
      <c r="B110" s="58" t="s">
        <v>8</v>
      </c>
      <c r="C110" s="58" t="s">
        <v>9</v>
      </c>
      <c r="D110" s="16" t="s">
        <v>196</v>
      </c>
      <c r="E110" s="6"/>
      <c r="F110" s="2"/>
      <c r="G110" s="2"/>
      <c r="H110" s="2"/>
      <c r="I110" s="2"/>
      <c r="J110" s="2"/>
      <c r="K110" s="2"/>
      <c r="L110" s="2"/>
      <c r="M110" s="2"/>
      <c r="Q110" s="2"/>
      <c r="R110" s="2"/>
    </row>
    <row r="111" spans="1:18" x14ac:dyDescent="0.2">
      <c r="A111" s="5"/>
      <c r="B111" s="58" t="s">
        <v>17</v>
      </c>
      <c r="C111" s="58">
        <v>2</v>
      </c>
      <c r="D111" s="16"/>
      <c r="E111" s="6"/>
      <c r="F111" s="2"/>
      <c r="G111" s="2"/>
      <c r="H111" s="2"/>
      <c r="I111" s="2"/>
      <c r="J111" s="2"/>
      <c r="K111" s="2"/>
      <c r="L111" s="2"/>
      <c r="M111" s="2"/>
      <c r="Q111" s="2"/>
      <c r="R111" s="2"/>
    </row>
    <row r="112" spans="1:18" x14ac:dyDescent="0.2">
      <c r="A112" s="5" t="s">
        <v>21</v>
      </c>
      <c r="B112" s="58" t="s">
        <v>190</v>
      </c>
      <c r="C112" s="58">
        <v>1</v>
      </c>
      <c r="D112" s="16" t="s">
        <v>199</v>
      </c>
      <c r="E112" s="6"/>
      <c r="F112" s="2"/>
      <c r="G112" s="2"/>
      <c r="H112" s="2"/>
      <c r="I112" s="2"/>
      <c r="J112" s="2"/>
      <c r="K112" s="2"/>
      <c r="L112" s="2"/>
      <c r="M112" s="2"/>
      <c r="Q112" s="2"/>
      <c r="R112" s="2"/>
    </row>
    <row r="113" spans="1:18" x14ac:dyDescent="0.2">
      <c r="A113" s="5"/>
      <c r="B113" s="58" t="s">
        <v>25</v>
      </c>
      <c r="C113" s="58">
        <v>1</v>
      </c>
      <c r="D113" s="6"/>
      <c r="E113" s="6"/>
      <c r="F113" s="2"/>
      <c r="G113" s="2"/>
      <c r="H113" s="2"/>
      <c r="I113" s="2"/>
      <c r="J113" s="2"/>
      <c r="K113" s="2"/>
      <c r="L113" s="2"/>
      <c r="M113" s="2"/>
      <c r="Q113" s="2"/>
      <c r="R113" s="2"/>
    </row>
    <row r="114" spans="1:18" x14ac:dyDescent="0.2">
      <c r="A114" s="5"/>
      <c r="B114" s="58" t="s">
        <v>195</v>
      </c>
      <c r="C114" s="58">
        <v>1</v>
      </c>
      <c r="D114" s="6"/>
      <c r="E114" s="6"/>
      <c r="F114" s="2"/>
      <c r="G114" s="2"/>
      <c r="H114" s="2"/>
      <c r="I114" s="2"/>
      <c r="J114" s="2"/>
      <c r="K114" s="2"/>
      <c r="L114" s="2"/>
      <c r="M114" s="2"/>
      <c r="Q114" s="2"/>
      <c r="R114" s="2"/>
    </row>
    <row r="115" spans="1:18" x14ac:dyDescent="0.2">
      <c r="A115" s="5"/>
      <c r="B115" s="58"/>
      <c r="C115" s="58"/>
      <c r="D115" s="6"/>
      <c r="E115" s="6"/>
      <c r="F115" s="2"/>
      <c r="G115" s="2"/>
      <c r="H115" s="2"/>
      <c r="I115" s="2"/>
      <c r="J115" s="2"/>
      <c r="K115" s="2"/>
      <c r="L115" s="2"/>
      <c r="M115" s="2"/>
      <c r="Q115" s="2"/>
      <c r="R115" s="2"/>
    </row>
    <row r="116" spans="1:18" x14ac:dyDescent="0.2">
      <c r="A116" s="5"/>
      <c r="B116" s="58" t="s">
        <v>8</v>
      </c>
      <c r="C116" s="58" t="s">
        <v>32</v>
      </c>
      <c r="D116" s="16" t="str">
        <f>"If " &amp; C118 &amp; " seconds pass, OR Voltage &lt;" &amp; C120 &amp; " Volts, OR LB_ENBL is OFF go to next 'Step Type'"</f>
        <v>If 60 seconds pass, OR Voltage &lt;0.2 Volts, OR LB_ENBL is OFF go to next 'Step Type'</v>
      </c>
      <c r="E116" s="6"/>
      <c r="F116" s="2"/>
      <c r="G116" s="2"/>
      <c r="H116" s="2"/>
      <c r="I116" s="2"/>
      <c r="J116" s="2"/>
      <c r="K116" s="2"/>
      <c r="L116" s="2"/>
      <c r="M116" s="2"/>
      <c r="Q116" s="2"/>
      <c r="R116" s="2"/>
    </row>
    <row r="117" spans="1:18" x14ac:dyDescent="0.2">
      <c r="A117" s="5"/>
      <c r="B117" s="58" t="s">
        <v>45</v>
      </c>
      <c r="C117" s="58" t="s">
        <v>46</v>
      </c>
      <c r="D117" s="6"/>
      <c r="E117" s="6"/>
      <c r="F117" s="2"/>
      <c r="G117" s="2"/>
      <c r="H117" s="2"/>
      <c r="I117" s="2"/>
      <c r="J117" s="2"/>
      <c r="K117" s="2"/>
      <c r="L117" s="2"/>
      <c r="M117" s="2"/>
      <c r="Q117" s="2"/>
      <c r="R117" s="2"/>
    </row>
    <row r="118" spans="1:18" x14ac:dyDescent="0.2">
      <c r="A118" s="5"/>
      <c r="B118" s="58" t="s">
        <v>17</v>
      </c>
      <c r="C118" s="58">
        <v>60</v>
      </c>
      <c r="D118" s="6"/>
      <c r="E118" s="6"/>
      <c r="F118" s="2"/>
      <c r="G118" s="2"/>
      <c r="H118" s="2"/>
      <c r="I118" s="2"/>
      <c r="J118" s="2"/>
      <c r="K118" s="2"/>
      <c r="L118" s="2"/>
      <c r="M118" s="2"/>
      <c r="Q118" s="2"/>
      <c r="R118" s="2"/>
    </row>
    <row r="119" spans="1:18" x14ac:dyDescent="0.2">
      <c r="A119" s="5"/>
      <c r="B119" s="58" t="s">
        <v>34</v>
      </c>
      <c r="C119" s="58" t="s">
        <v>41</v>
      </c>
      <c r="D119" s="6"/>
      <c r="E119" s="6"/>
      <c r="F119" s="2"/>
      <c r="G119" s="2"/>
      <c r="H119" s="2"/>
      <c r="I119" s="2"/>
      <c r="J119" s="2"/>
      <c r="K119" s="2"/>
      <c r="L119" s="2"/>
      <c r="M119" s="2"/>
      <c r="Q119" s="2"/>
      <c r="R119" s="2"/>
    </row>
    <row r="120" spans="1:18" x14ac:dyDescent="0.2">
      <c r="A120" s="5"/>
      <c r="B120" s="58" t="s">
        <v>164</v>
      </c>
      <c r="C120" s="59">
        <v>0.2</v>
      </c>
      <c r="D120" s="16" t="s">
        <v>198</v>
      </c>
      <c r="E120" s="6"/>
      <c r="F120" s="2"/>
      <c r="G120" s="2"/>
      <c r="H120" s="2"/>
      <c r="I120" s="2"/>
      <c r="J120" s="2"/>
      <c r="K120" s="2"/>
      <c r="L120" s="2"/>
      <c r="M120" s="2"/>
      <c r="Q120" s="2"/>
      <c r="R120" s="2"/>
    </row>
    <row r="121" spans="1:18" x14ac:dyDescent="0.2">
      <c r="A121" s="5"/>
      <c r="B121" s="58" t="s">
        <v>34</v>
      </c>
      <c r="C121" s="58" t="s">
        <v>42</v>
      </c>
      <c r="D121" s="6"/>
      <c r="E121" s="6"/>
      <c r="F121" s="2"/>
      <c r="G121" s="2"/>
      <c r="H121" s="2"/>
      <c r="I121" s="2"/>
      <c r="J121" s="2"/>
      <c r="K121" s="2"/>
      <c r="L121" s="2"/>
      <c r="M121" s="2"/>
      <c r="Q121" s="2"/>
      <c r="R121" s="2"/>
    </row>
    <row r="122" spans="1:18" x14ac:dyDescent="0.2">
      <c r="A122" s="5"/>
      <c r="B122" s="58" t="s">
        <v>135</v>
      </c>
      <c r="C122" s="60" t="s">
        <v>14</v>
      </c>
      <c r="D122" s="6"/>
      <c r="E122" s="6"/>
      <c r="F122" s="2"/>
      <c r="G122" s="2"/>
      <c r="H122" s="2"/>
      <c r="I122" s="2"/>
      <c r="J122" s="2"/>
      <c r="K122" s="2"/>
      <c r="L122" s="2"/>
      <c r="M122" s="2"/>
      <c r="Q122" s="2"/>
      <c r="R122" s="2"/>
    </row>
    <row r="123" spans="1:18" x14ac:dyDescent="0.2">
      <c r="A123" s="5"/>
      <c r="B123" s="58"/>
      <c r="C123" s="58"/>
      <c r="D123" s="6"/>
      <c r="E123" s="6"/>
      <c r="F123" s="2"/>
      <c r="G123" s="2"/>
      <c r="H123" s="2"/>
      <c r="I123" s="2"/>
      <c r="J123" s="2"/>
      <c r="K123" s="2"/>
      <c r="L123" s="2"/>
      <c r="M123" s="2"/>
      <c r="Q123" s="2"/>
      <c r="R123" s="2"/>
    </row>
    <row r="124" spans="1:18" x14ac:dyDescent="0.2">
      <c r="A124" s="5"/>
      <c r="B124" s="58" t="s">
        <v>8</v>
      </c>
      <c r="C124" s="58" t="s">
        <v>9</v>
      </c>
      <c r="D124" s="6"/>
      <c r="E124" s="6"/>
      <c r="F124" s="2"/>
      <c r="G124" s="2"/>
      <c r="H124" s="2"/>
      <c r="I124" s="2"/>
      <c r="J124" s="2"/>
      <c r="K124" s="2"/>
      <c r="L124" s="2"/>
      <c r="M124" s="2"/>
      <c r="Q124" s="2"/>
      <c r="R124" s="2"/>
    </row>
    <row r="125" spans="1:18" x14ac:dyDescent="0.2">
      <c r="A125" s="5"/>
      <c r="B125" s="58" t="s">
        <v>17</v>
      </c>
      <c r="C125" s="58">
        <v>2</v>
      </c>
      <c r="D125" s="6"/>
      <c r="E125" s="6"/>
      <c r="F125" s="2"/>
      <c r="G125" s="2"/>
      <c r="H125" s="2"/>
      <c r="I125" s="2"/>
      <c r="J125" s="2"/>
      <c r="K125" s="2"/>
      <c r="L125" s="2"/>
      <c r="M125" s="2"/>
      <c r="Q125" s="2"/>
      <c r="R125" s="2"/>
    </row>
    <row r="126" spans="1:18" x14ac:dyDescent="0.2">
      <c r="A126" s="5"/>
      <c r="B126" s="58" t="s">
        <v>194</v>
      </c>
      <c r="C126" s="60" t="s">
        <v>92</v>
      </c>
      <c r="D126" s="16" t="s">
        <v>197</v>
      </c>
      <c r="E126" s="6"/>
      <c r="F126" s="2"/>
      <c r="G126" s="2"/>
      <c r="H126" s="2"/>
      <c r="I126" s="2"/>
      <c r="J126" s="2"/>
      <c r="K126" s="2"/>
      <c r="L126" s="2"/>
      <c r="M126" s="2"/>
      <c r="Q126" s="2"/>
      <c r="R126" s="2"/>
    </row>
    <row r="128" spans="1:18" x14ac:dyDescent="0.2">
      <c r="A128" s="4" t="s">
        <v>6</v>
      </c>
    </row>
    <row r="129" spans="1:18" x14ac:dyDescent="0.2">
      <c r="B129" s="2" t="s">
        <v>8</v>
      </c>
      <c r="C129" s="2" t="s">
        <v>9</v>
      </c>
    </row>
    <row r="130" spans="1:18" x14ac:dyDescent="0.2">
      <c r="B130" s="2" t="s">
        <v>17</v>
      </c>
      <c r="C130" s="2">
        <v>2</v>
      </c>
    </row>
    <row r="131" spans="1:18" x14ac:dyDescent="0.2">
      <c r="B131" s="2" t="s">
        <v>166</v>
      </c>
      <c r="C131" s="2" t="str">
        <f ca="1">MID(CELL("filename",A18),FIND("]",CELL("filename",A18))+1,256) &amp; " Finished"</f>
        <v>Wet FCPM Finished</v>
      </c>
    </row>
    <row r="132" spans="1:18" x14ac:dyDescent="0.2">
      <c r="B132" s="2" t="s">
        <v>193</v>
      </c>
      <c r="C132" s="6" t="s">
        <v>48</v>
      </c>
    </row>
    <row r="133" spans="1:18" x14ac:dyDescent="0.2">
      <c r="B133" s="2" t="s">
        <v>201</v>
      </c>
      <c r="C133" s="25" t="s">
        <v>92</v>
      </c>
    </row>
    <row r="134" spans="1:18" x14ac:dyDescent="0.2">
      <c r="B134" s="2" t="s">
        <v>202</v>
      </c>
      <c r="C134" s="25" t="s">
        <v>92</v>
      </c>
      <c r="D134" s="3" t="s">
        <v>200</v>
      </c>
    </row>
    <row r="135" spans="1:18" x14ac:dyDescent="0.2">
      <c r="A135" s="2"/>
      <c r="F135" s="2"/>
      <c r="G135" s="2"/>
      <c r="H135" s="2"/>
      <c r="I135" s="2"/>
      <c r="J135" s="2"/>
      <c r="K135" s="2"/>
      <c r="L135" s="2"/>
      <c r="M135" s="2"/>
      <c r="Q135" s="2"/>
      <c r="R135" s="2"/>
    </row>
    <row r="136" spans="1:18" x14ac:dyDescent="0.2">
      <c r="A136" s="4" t="s">
        <v>7</v>
      </c>
    </row>
  </sheetData>
  <phoneticPr fontId="0" type="noConversion"/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0D7A-7988-4464-AF77-7FFCCA8AAB2D}">
  <sheetPr codeName="Sheet22">
    <pageSetUpPr fitToPage="1"/>
  </sheetPr>
  <dimension ref="A1:Z116"/>
  <sheetViews>
    <sheetView topLeftCell="A26" zoomScale="85" zoomScaleNormal="25" zoomScaleSheetLayoutView="70" workbookViewId="0">
      <selection activeCell="H44" sqref="H44"/>
    </sheetView>
  </sheetViews>
  <sheetFormatPr defaultRowHeight="12.75" x14ac:dyDescent="0.2"/>
  <cols>
    <col min="1" max="1" width="11.5703125" style="4" bestFit="1" customWidth="1"/>
    <col min="2" max="2" width="56" style="2" customWidth="1"/>
    <col min="3" max="3" width="20.140625" style="2" customWidth="1"/>
    <col min="4" max="4" width="7.85546875" style="2" customWidth="1"/>
    <col min="5" max="5" width="18.42578125" style="2" bestFit="1" customWidth="1"/>
    <col min="6" max="6" width="8.42578125" style="6" bestFit="1" customWidth="1"/>
    <col min="7" max="7" width="8.7109375" style="6" bestFit="1" customWidth="1"/>
    <col min="8" max="8" width="8.5703125" style="6" bestFit="1" customWidth="1"/>
    <col min="9" max="9" width="9.28515625" style="6" bestFit="1" customWidth="1"/>
    <col min="10" max="10" width="7.5703125" style="6" bestFit="1" customWidth="1"/>
    <col min="11" max="11" width="9.85546875" style="6" bestFit="1" customWidth="1"/>
    <col min="12" max="13" width="8.140625" style="6" customWidth="1"/>
    <col min="14" max="14" width="6.42578125" style="2" bestFit="1" customWidth="1"/>
    <col min="15" max="15" width="9.5703125" style="2" customWidth="1"/>
    <col min="16" max="16" width="9.5703125" style="2" bestFit="1" customWidth="1"/>
    <col min="17" max="18" width="7.5703125" style="1" bestFit="1" customWidth="1"/>
    <col min="19" max="19" width="11.28515625" style="2" customWidth="1"/>
    <col min="20" max="16384" width="9.140625" style="2"/>
  </cols>
  <sheetData>
    <row r="1" spans="1:19" s="4" customFormat="1" x14ac:dyDescent="0.2">
      <c r="A1" s="4" t="s">
        <v>3</v>
      </c>
      <c r="B1" s="4" t="s">
        <v>4</v>
      </c>
      <c r="C1" s="2"/>
      <c r="E1" s="2"/>
      <c r="F1" s="6"/>
      <c r="G1" s="6"/>
      <c r="H1" s="6"/>
      <c r="I1" s="6"/>
      <c r="J1" s="6"/>
      <c r="K1" s="6"/>
      <c r="L1" s="6"/>
      <c r="M1" s="6"/>
      <c r="N1" s="2"/>
      <c r="O1" s="2"/>
      <c r="P1" s="2"/>
      <c r="Q1" s="1"/>
      <c r="R1" s="1"/>
      <c r="S1" s="2"/>
    </row>
    <row r="2" spans="1:19" x14ac:dyDescent="0.2">
      <c r="A2" s="4" t="s">
        <v>0</v>
      </c>
      <c r="B2" s="3" t="s">
        <v>1</v>
      </c>
      <c r="C2" s="3" t="s">
        <v>2</v>
      </c>
    </row>
    <row r="4" spans="1:19" x14ac:dyDescent="0.2">
      <c r="A4" s="4" t="s">
        <v>5</v>
      </c>
    </row>
    <row r="5" spans="1:19" x14ac:dyDescent="0.2">
      <c r="B5" s="2" t="s">
        <v>8</v>
      </c>
      <c r="C5" s="2" t="s">
        <v>9</v>
      </c>
    </row>
    <row r="6" spans="1:19" x14ac:dyDescent="0.2">
      <c r="B6" s="2" t="s">
        <v>17</v>
      </c>
      <c r="C6" s="25">
        <v>2</v>
      </c>
    </row>
    <row r="7" spans="1:19" x14ac:dyDescent="0.2">
      <c r="B7" s="2" t="s">
        <v>166</v>
      </c>
      <c r="C7" s="25" t="s">
        <v>5</v>
      </c>
    </row>
    <row r="8" spans="1:19" x14ac:dyDescent="0.2">
      <c r="A8" s="4" t="s">
        <v>21</v>
      </c>
      <c r="B8" s="2" t="s">
        <v>191</v>
      </c>
      <c r="C8" s="25" t="s">
        <v>192</v>
      </c>
    </row>
    <row r="9" spans="1:19" x14ac:dyDescent="0.2">
      <c r="B9" s="2" t="s">
        <v>193</v>
      </c>
      <c r="C9" s="25" t="s">
        <v>92</v>
      </c>
    </row>
    <row r="10" spans="1:19" x14ac:dyDescent="0.2">
      <c r="C10" s="25"/>
    </row>
    <row r="11" spans="1:19" x14ac:dyDescent="0.2">
      <c r="B11" s="2" t="s">
        <v>135</v>
      </c>
      <c r="C11" s="25" t="s">
        <v>14</v>
      </c>
    </row>
    <row r="12" spans="1:19" x14ac:dyDescent="0.2">
      <c r="B12" s="2" t="s">
        <v>133</v>
      </c>
      <c r="C12" s="25" t="s">
        <v>68</v>
      </c>
    </row>
    <row r="13" spans="1:19" x14ac:dyDescent="0.2">
      <c r="B13" s="2" t="s">
        <v>136</v>
      </c>
      <c r="C13" s="28">
        <v>1.1000000000000001</v>
      </c>
    </row>
    <row r="14" spans="1:19" x14ac:dyDescent="0.2">
      <c r="B14" s="2" t="s">
        <v>137</v>
      </c>
      <c r="C14" s="94">
        <v>0</v>
      </c>
    </row>
    <row r="15" spans="1:19" x14ac:dyDescent="0.2">
      <c r="C15" s="28"/>
    </row>
    <row r="16" spans="1:19" x14ac:dyDescent="0.2">
      <c r="B16" s="2" t="s">
        <v>167</v>
      </c>
      <c r="C16" s="108">
        <v>100</v>
      </c>
    </row>
    <row r="17" spans="1:26" x14ac:dyDescent="0.2">
      <c r="B17" s="2" t="s">
        <v>139</v>
      </c>
      <c r="C17" s="25">
        <v>0</v>
      </c>
    </row>
    <row r="18" spans="1:26" s="6" customFormat="1" x14ac:dyDescent="0.2">
      <c r="A18" s="5"/>
      <c r="B18" s="6" t="s">
        <v>138</v>
      </c>
      <c r="C18" s="27">
        <v>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26" x14ac:dyDescent="0.2">
      <c r="B19" s="2" t="s">
        <v>149</v>
      </c>
      <c r="C19" s="25">
        <v>0</v>
      </c>
    </row>
    <row r="20" spans="1:26" x14ac:dyDescent="0.2">
      <c r="B20" s="2" t="s">
        <v>150</v>
      </c>
      <c r="C20" s="25">
        <v>0</v>
      </c>
    </row>
    <row r="21" spans="1:26" x14ac:dyDescent="0.2">
      <c r="A21" s="2"/>
      <c r="B21" s="2" t="s">
        <v>151</v>
      </c>
      <c r="C21" s="25" t="s">
        <v>168</v>
      </c>
      <c r="D21" s="3"/>
      <c r="F21" s="2"/>
      <c r="G21" s="2"/>
      <c r="H21" s="2"/>
      <c r="I21" s="2"/>
      <c r="J21" s="2"/>
      <c r="K21" s="2"/>
      <c r="L21" s="2"/>
      <c r="M21" s="2"/>
      <c r="Q21" s="2"/>
      <c r="R21" s="2"/>
    </row>
    <row r="22" spans="1:26" x14ac:dyDescent="0.2">
      <c r="A22" s="2"/>
      <c r="C22" s="25"/>
      <c r="D22" s="3"/>
      <c r="F22" s="2"/>
      <c r="G22" s="2"/>
      <c r="H22" s="2"/>
      <c r="I22" s="2"/>
      <c r="J22" s="2"/>
      <c r="K22" s="2"/>
      <c r="L22" s="2"/>
      <c r="M22" s="2"/>
      <c r="Q22" s="2"/>
      <c r="R22" s="2"/>
    </row>
    <row r="23" spans="1:26" x14ac:dyDescent="0.2">
      <c r="A23" s="2"/>
      <c r="B23" s="8" t="s">
        <v>152</v>
      </c>
      <c r="C23" s="25" t="s">
        <v>24</v>
      </c>
      <c r="D23" s="3"/>
      <c r="Q23" s="2"/>
      <c r="R23" s="2"/>
    </row>
    <row r="24" spans="1:26" x14ac:dyDescent="0.2">
      <c r="A24" s="2"/>
      <c r="B24" s="8" t="s">
        <v>153</v>
      </c>
      <c r="C24" s="25" t="s">
        <v>92</v>
      </c>
      <c r="D24" s="26"/>
      <c r="Q24" s="2"/>
      <c r="R24" s="2"/>
    </row>
    <row r="25" spans="1:26" s="33" customFormat="1" x14ac:dyDescent="0.2">
      <c r="A25" s="109"/>
      <c r="B25" s="47" t="s">
        <v>178</v>
      </c>
      <c r="C25" s="27" t="s">
        <v>92</v>
      </c>
      <c r="D25" s="110" t="s">
        <v>179</v>
      </c>
      <c r="Q25" s="111"/>
      <c r="R25" s="111"/>
      <c r="S25" s="111"/>
      <c r="Z25" s="111"/>
    </row>
    <row r="26" spans="1:26" x14ac:dyDescent="0.2">
      <c r="A26" s="2"/>
      <c r="B26" s="2" t="s">
        <v>154</v>
      </c>
      <c r="C26" s="25" t="s">
        <v>14</v>
      </c>
      <c r="D26" s="3"/>
      <c r="Q26" s="2"/>
      <c r="R26" s="2"/>
    </row>
    <row r="27" spans="1:26" x14ac:dyDescent="0.2">
      <c r="A27" s="2"/>
      <c r="B27" s="2" t="s">
        <v>155</v>
      </c>
      <c r="C27" s="25" t="s">
        <v>14</v>
      </c>
      <c r="D27" s="3"/>
      <c r="Q27" s="2"/>
      <c r="R27" s="2"/>
    </row>
    <row r="28" spans="1:26" x14ac:dyDescent="0.2">
      <c r="A28" s="2"/>
      <c r="C28" s="25"/>
      <c r="D28" s="3"/>
      <c r="Q28" s="2"/>
      <c r="R28" s="2"/>
    </row>
    <row r="29" spans="1:26" x14ac:dyDescent="0.2">
      <c r="A29" s="2"/>
      <c r="B29" s="2" t="s">
        <v>16</v>
      </c>
      <c r="C29" s="25" t="s">
        <v>24</v>
      </c>
      <c r="D29" s="3"/>
      <c r="E29" s="3"/>
      <c r="Q29" s="2"/>
      <c r="R29" s="2"/>
    </row>
    <row r="30" spans="1:26" x14ac:dyDescent="0.2">
      <c r="A30" s="2"/>
      <c r="B30" s="2" t="s">
        <v>25</v>
      </c>
      <c r="C30" s="25">
        <v>30</v>
      </c>
      <c r="D30" s="3"/>
      <c r="Q30" s="2"/>
      <c r="R30" s="2"/>
    </row>
    <row r="31" spans="1:26" x14ac:dyDescent="0.2">
      <c r="A31" s="2"/>
      <c r="B31" s="2" t="s">
        <v>195</v>
      </c>
      <c r="C31" s="25">
        <v>30</v>
      </c>
      <c r="D31" s="3"/>
      <c r="Q31" s="2"/>
      <c r="R31" s="2"/>
    </row>
    <row r="32" spans="1:26" x14ac:dyDescent="0.2">
      <c r="A32" s="2"/>
      <c r="B32" s="2" t="s">
        <v>190</v>
      </c>
      <c r="C32" s="25">
        <v>1</v>
      </c>
      <c r="D32" s="3"/>
      <c r="Q32" s="2"/>
      <c r="R32" s="2"/>
    </row>
    <row r="33" spans="1:19" x14ac:dyDescent="0.2">
      <c r="A33" s="2"/>
      <c r="C33" s="25"/>
      <c r="Q33" s="2"/>
      <c r="R33" s="2"/>
    </row>
    <row r="34" spans="1:19" x14ac:dyDescent="0.2">
      <c r="A34" s="2"/>
      <c r="B34" s="2" t="s">
        <v>156</v>
      </c>
      <c r="C34" s="28" t="s">
        <v>48</v>
      </c>
      <c r="F34" s="2"/>
      <c r="G34" s="2"/>
      <c r="H34" s="2"/>
      <c r="I34" s="2"/>
      <c r="J34" s="2"/>
      <c r="K34" s="2"/>
      <c r="L34" s="2"/>
      <c r="M34" s="2"/>
      <c r="Q34" s="2"/>
      <c r="R34" s="2"/>
    </row>
    <row r="35" spans="1:19" x14ac:dyDescent="0.2">
      <c r="A35" s="2"/>
      <c r="B35" s="2" t="s">
        <v>157</v>
      </c>
      <c r="C35" s="28">
        <v>-0.1</v>
      </c>
      <c r="F35" s="2"/>
      <c r="G35" s="2"/>
      <c r="H35" s="2"/>
      <c r="I35" s="2"/>
      <c r="J35" s="2"/>
      <c r="K35" s="2"/>
      <c r="L35" s="2"/>
      <c r="M35" s="2"/>
      <c r="Q35" s="2"/>
      <c r="R35" s="2"/>
    </row>
    <row r="36" spans="1:19" x14ac:dyDescent="0.2">
      <c r="A36" s="2"/>
      <c r="B36" s="2" t="s">
        <v>158</v>
      </c>
      <c r="C36" s="25" t="s">
        <v>92</v>
      </c>
      <c r="Q36" s="2"/>
      <c r="R36" s="2"/>
    </row>
    <row r="37" spans="1:19" x14ac:dyDescent="0.2">
      <c r="B37" s="8"/>
      <c r="C37" s="25"/>
      <c r="Q37" s="2"/>
      <c r="S37" s="1"/>
    </row>
    <row r="38" spans="1:19" s="9" customFormat="1" ht="51" x14ac:dyDescent="0.2">
      <c r="A38" s="9" t="s">
        <v>15</v>
      </c>
      <c r="B38" s="9" t="s">
        <v>10</v>
      </c>
      <c r="C38" s="30" t="s">
        <v>11</v>
      </c>
      <c r="D38" s="17" t="s">
        <v>12</v>
      </c>
      <c r="E38" s="1" t="s">
        <v>27</v>
      </c>
      <c r="F38" s="29" t="s">
        <v>133</v>
      </c>
      <c r="G38" s="22" t="s">
        <v>135</v>
      </c>
      <c r="H38" s="29" t="s">
        <v>136</v>
      </c>
      <c r="I38" s="29" t="s">
        <v>137</v>
      </c>
      <c r="J38" s="29" t="s">
        <v>139</v>
      </c>
      <c r="K38" s="29" t="s">
        <v>140</v>
      </c>
      <c r="L38" s="29" t="s">
        <v>141</v>
      </c>
      <c r="M38" s="29" t="s">
        <v>142</v>
      </c>
      <c r="N38" s="30" t="s">
        <v>143</v>
      </c>
      <c r="O38" s="30" t="s">
        <v>145</v>
      </c>
      <c r="P38" s="30" t="s">
        <v>146</v>
      </c>
      <c r="Q38" s="30" t="s">
        <v>147</v>
      </c>
      <c r="R38" s="30" t="s">
        <v>148</v>
      </c>
      <c r="S38" s="30" t="s">
        <v>25</v>
      </c>
    </row>
    <row r="39" spans="1:19" s="12" customFormat="1" ht="26.25" x14ac:dyDescent="0.25">
      <c r="A39" s="10" t="s">
        <v>21</v>
      </c>
      <c r="B39" s="11" t="s">
        <v>56</v>
      </c>
      <c r="C39" s="18" t="s">
        <v>13</v>
      </c>
      <c r="D39" s="18" t="s">
        <v>13</v>
      </c>
      <c r="E39" s="18" t="s">
        <v>28</v>
      </c>
      <c r="F39" s="19" t="s">
        <v>85</v>
      </c>
      <c r="G39" s="19" t="s">
        <v>26</v>
      </c>
      <c r="H39" s="19" t="s">
        <v>18</v>
      </c>
      <c r="I39" s="19" t="s">
        <v>20</v>
      </c>
      <c r="J39" s="19"/>
      <c r="K39" s="19" t="s">
        <v>37</v>
      </c>
      <c r="L39" s="19"/>
      <c r="M39" s="19"/>
      <c r="N39" s="18" t="s">
        <v>59</v>
      </c>
      <c r="O39" s="18" t="s">
        <v>22</v>
      </c>
      <c r="P39" s="18" t="s">
        <v>22</v>
      </c>
      <c r="Q39" s="18" t="s">
        <v>23</v>
      </c>
      <c r="R39" s="18" t="s">
        <v>23</v>
      </c>
      <c r="S39" s="18"/>
    </row>
    <row r="40" spans="1:19" ht="14.25" x14ac:dyDescent="0.25">
      <c r="A40" s="10"/>
      <c r="B40" s="51" t="s">
        <v>106</v>
      </c>
      <c r="C40" s="76">
        <v>5</v>
      </c>
      <c r="D40" s="76">
        <v>0</v>
      </c>
      <c r="E40" s="55" t="s">
        <v>104</v>
      </c>
      <c r="F40" s="76" t="s">
        <v>68</v>
      </c>
      <c r="G40" s="77" t="s">
        <v>24</v>
      </c>
      <c r="H40" s="78">
        <v>0.85</v>
      </c>
      <c r="I40" s="79">
        <v>0</v>
      </c>
      <c r="J40" s="80">
        <v>0</v>
      </c>
      <c r="K40" s="79">
        <v>1</v>
      </c>
      <c r="L40" s="79">
        <v>1.5</v>
      </c>
      <c r="M40" s="79">
        <v>2</v>
      </c>
      <c r="N40" s="76">
        <v>80</v>
      </c>
      <c r="O40" s="76">
        <v>40</v>
      </c>
      <c r="P40" s="76">
        <v>40</v>
      </c>
      <c r="Q40" s="76">
        <v>110</v>
      </c>
      <c r="R40" s="76">
        <v>110</v>
      </c>
      <c r="S40" s="76">
        <v>10</v>
      </c>
    </row>
    <row r="41" spans="1:19" ht="13.5" x14ac:dyDescent="0.25">
      <c r="A41" s="333" t="s">
        <v>21</v>
      </c>
      <c r="B41" s="51" t="s">
        <v>66</v>
      </c>
      <c r="C41" s="76">
        <v>90</v>
      </c>
      <c r="D41" s="76">
        <v>0</v>
      </c>
      <c r="E41" s="91" t="s">
        <v>63</v>
      </c>
      <c r="F41" s="76" t="s">
        <v>68</v>
      </c>
      <c r="G41" s="77" t="s">
        <v>14</v>
      </c>
      <c r="H41" s="78">
        <v>1.1000000000000001</v>
      </c>
      <c r="I41" s="79">
        <v>0</v>
      </c>
      <c r="J41" s="80">
        <v>0</v>
      </c>
      <c r="K41" s="79">
        <v>0.2</v>
      </c>
      <c r="L41" s="79">
        <v>1.5</v>
      </c>
      <c r="M41" s="79">
        <v>2</v>
      </c>
      <c r="N41" s="76">
        <v>80</v>
      </c>
      <c r="O41" s="76">
        <v>40</v>
      </c>
      <c r="P41" s="76">
        <v>40</v>
      </c>
      <c r="Q41" s="76">
        <v>110</v>
      </c>
      <c r="R41" s="76">
        <v>110</v>
      </c>
      <c r="S41" s="76">
        <v>10</v>
      </c>
    </row>
    <row r="42" spans="1:19" ht="13.5" x14ac:dyDescent="0.25">
      <c r="A42" s="333" t="s">
        <v>21</v>
      </c>
      <c r="B42" s="81" t="str">
        <f>"SS-LowP - "&amp;FIXED(I42)&amp;" A/cm²"</f>
        <v>SS-LowP - 0.05 A/cm²</v>
      </c>
      <c r="C42" s="76">
        <v>5</v>
      </c>
      <c r="D42" s="76">
        <v>5</v>
      </c>
      <c r="E42" s="61" t="s">
        <v>47</v>
      </c>
      <c r="F42" s="76" t="s">
        <v>69</v>
      </c>
      <c r="G42" s="77" t="s">
        <v>24</v>
      </c>
      <c r="H42" s="78">
        <v>1.1000000000000001</v>
      </c>
      <c r="I42" s="79">
        <v>0.05</v>
      </c>
      <c r="J42" s="80"/>
      <c r="K42" s="79"/>
      <c r="L42" s="79"/>
      <c r="M42" s="79"/>
      <c r="N42" s="76"/>
      <c r="O42" s="76"/>
      <c r="P42" s="76"/>
      <c r="Q42" s="76"/>
      <c r="R42" s="76"/>
      <c r="S42" s="76"/>
    </row>
    <row r="43" spans="1:19" ht="13.5" x14ac:dyDescent="0.25">
      <c r="A43" s="333"/>
      <c r="B43" s="81" t="str">
        <f t="shared" ref="B43:B48" si="0">"SS-LowP - "&amp;FIXED(I43)&amp;" A/cm²"</f>
        <v>SS-LowP - 0.20 A/cm²</v>
      </c>
      <c r="C43" s="76">
        <v>5</v>
      </c>
      <c r="D43" s="76">
        <v>5</v>
      </c>
      <c r="E43" s="61" t="s">
        <v>47</v>
      </c>
      <c r="F43" s="76" t="s">
        <v>69</v>
      </c>
      <c r="G43" s="77"/>
      <c r="H43" s="78"/>
      <c r="I43" s="79">
        <v>0.2</v>
      </c>
      <c r="J43" s="80"/>
      <c r="K43" s="79"/>
      <c r="L43" s="79"/>
      <c r="M43" s="79"/>
      <c r="N43" s="76"/>
      <c r="O43" s="76"/>
      <c r="P43" s="76"/>
      <c r="Q43" s="76"/>
      <c r="R43" s="76"/>
      <c r="S43" s="76"/>
    </row>
    <row r="44" spans="1:19" ht="13.5" x14ac:dyDescent="0.25">
      <c r="A44" s="333"/>
      <c r="B44" s="81" t="str">
        <f>"SS-LowP - "&amp;FIXED(I44)&amp;" A/cm² - Transition"</f>
        <v>SS-LowP - 0.40 A/cm² - Transition</v>
      </c>
      <c r="C44" s="76">
        <v>15</v>
      </c>
      <c r="D44" s="76">
        <v>5</v>
      </c>
      <c r="E44" s="76"/>
      <c r="F44" s="76" t="s">
        <v>69</v>
      </c>
      <c r="G44" s="77"/>
      <c r="H44" s="78"/>
      <c r="I44" s="79">
        <v>0.4</v>
      </c>
      <c r="J44" s="80"/>
      <c r="K44" s="79">
        <v>0.4</v>
      </c>
      <c r="L44" s="79"/>
      <c r="M44" s="79"/>
      <c r="N44" s="76"/>
      <c r="O44" s="76"/>
      <c r="P44" s="76"/>
      <c r="Q44" s="76"/>
      <c r="R44" s="76"/>
      <c r="S44" s="76"/>
    </row>
    <row r="45" spans="1:19" ht="13.5" x14ac:dyDescent="0.25">
      <c r="A45" s="333"/>
      <c r="B45" s="81" t="str">
        <f t="shared" si="0"/>
        <v>SS-LowP - 0.80 A/cm²</v>
      </c>
      <c r="C45" s="76">
        <v>5</v>
      </c>
      <c r="D45" s="76">
        <v>5</v>
      </c>
      <c r="E45" s="61" t="s">
        <v>47</v>
      </c>
      <c r="F45" s="76" t="s">
        <v>69</v>
      </c>
      <c r="G45" s="77"/>
      <c r="H45" s="78"/>
      <c r="I45" s="79">
        <v>0.8</v>
      </c>
      <c r="J45" s="80"/>
      <c r="K45" s="79">
        <v>0.8</v>
      </c>
      <c r="L45" s="79"/>
      <c r="M45" s="79"/>
      <c r="N45" s="76"/>
      <c r="O45" s="76"/>
      <c r="P45" s="76"/>
      <c r="Q45" s="76"/>
      <c r="R45" s="76"/>
      <c r="S45" s="76"/>
    </row>
    <row r="46" spans="1:19" ht="13.5" x14ac:dyDescent="0.25">
      <c r="A46" s="333"/>
      <c r="B46" s="81" t="str">
        <f>"SS-LowP - "&amp;FIXED(I46)&amp;" A/cm² - Transition"</f>
        <v>SS-LowP - 1.00 A/cm² - Transition</v>
      </c>
      <c r="C46" s="76">
        <v>15</v>
      </c>
      <c r="D46" s="76">
        <v>5</v>
      </c>
      <c r="E46" s="76"/>
      <c r="F46" s="76" t="s">
        <v>69</v>
      </c>
      <c r="G46" s="77"/>
      <c r="H46" s="78"/>
      <c r="I46" s="79">
        <v>1</v>
      </c>
      <c r="J46" s="80"/>
      <c r="K46" s="79">
        <v>1</v>
      </c>
      <c r="L46" s="79"/>
      <c r="M46" s="79"/>
      <c r="N46" s="76"/>
      <c r="O46" s="76"/>
      <c r="P46" s="76"/>
      <c r="Q46" s="76"/>
      <c r="R46" s="76"/>
      <c r="S46" s="76"/>
    </row>
    <row r="47" spans="1:19" ht="13.5" x14ac:dyDescent="0.25">
      <c r="A47" s="333"/>
      <c r="B47" s="81" t="str">
        <f>"SS-LowP - "&amp;FIXED(I47)&amp;" A/cm² - Transition"</f>
        <v>SS-LowP - 1.20 A/cm² - Transition</v>
      </c>
      <c r="C47" s="76">
        <v>15</v>
      </c>
      <c r="D47" s="76">
        <v>5</v>
      </c>
      <c r="E47" s="76"/>
      <c r="F47" s="76" t="s">
        <v>69</v>
      </c>
      <c r="G47" s="77"/>
      <c r="H47" s="78"/>
      <c r="I47" s="79">
        <v>1.2</v>
      </c>
      <c r="J47" s="80"/>
      <c r="K47" s="79">
        <v>1.2</v>
      </c>
      <c r="L47" s="79"/>
      <c r="M47" s="79"/>
      <c r="N47" s="76"/>
      <c r="O47" s="76"/>
      <c r="P47" s="76"/>
      <c r="Q47" s="76"/>
      <c r="R47" s="76"/>
      <c r="S47" s="76"/>
    </row>
    <row r="48" spans="1:19" ht="13.5" x14ac:dyDescent="0.25">
      <c r="A48" s="333"/>
      <c r="B48" s="81" t="str">
        <f t="shared" si="0"/>
        <v>SS-LowP - 1.50 A/cm²</v>
      </c>
      <c r="C48" s="76">
        <v>5</v>
      </c>
      <c r="D48" s="76">
        <v>5</v>
      </c>
      <c r="E48" s="61" t="s">
        <v>47</v>
      </c>
      <c r="F48" s="76" t="s">
        <v>69</v>
      </c>
      <c r="G48" s="77"/>
      <c r="H48" s="78"/>
      <c r="I48" s="79">
        <v>1.5</v>
      </c>
      <c r="J48" s="80"/>
      <c r="K48" s="79">
        <v>1.5</v>
      </c>
      <c r="L48" s="79"/>
      <c r="M48" s="79"/>
      <c r="N48" s="76"/>
      <c r="O48" s="76"/>
      <c r="P48" s="76"/>
      <c r="Q48" s="76"/>
      <c r="R48" s="76"/>
      <c r="S48" s="76"/>
    </row>
    <row r="49" spans="1:19" ht="13.5" x14ac:dyDescent="0.25">
      <c r="A49" s="10"/>
      <c r="C49" s="1"/>
      <c r="D49" s="1"/>
      <c r="E49" s="22"/>
      <c r="F49" s="22"/>
      <c r="G49" s="20"/>
      <c r="H49" s="34"/>
      <c r="I49" s="21"/>
      <c r="J49" s="32"/>
      <c r="K49" s="21"/>
      <c r="L49" s="21"/>
      <c r="M49" s="21"/>
      <c r="N49" s="1"/>
      <c r="O49" s="1"/>
      <c r="P49" s="1"/>
      <c r="S49" s="1"/>
    </row>
    <row r="50" spans="1:19" x14ac:dyDescent="0.2">
      <c r="A50" s="4" t="s">
        <v>30</v>
      </c>
      <c r="B50" s="52" t="s">
        <v>31</v>
      </c>
      <c r="C50" s="69" t="s">
        <v>104</v>
      </c>
    </row>
    <row r="51" spans="1:19" x14ac:dyDescent="0.2">
      <c r="B51" s="53" t="s">
        <v>8</v>
      </c>
      <c r="C51" s="53" t="s">
        <v>96</v>
      </c>
    </row>
    <row r="52" spans="1:19" x14ac:dyDescent="0.2">
      <c r="B52" s="53" t="s">
        <v>45</v>
      </c>
      <c r="C52" s="53" t="s">
        <v>33</v>
      </c>
    </row>
    <row r="53" spans="1:19" x14ac:dyDescent="0.2">
      <c r="B53" s="53" t="s">
        <v>17</v>
      </c>
      <c r="C53" s="53">
        <v>1200</v>
      </c>
    </row>
    <row r="54" spans="1:19" x14ac:dyDescent="0.2">
      <c r="B54" s="53" t="s">
        <v>34</v>
      </c>
      <c r="C54" s="53" t="s">
        <v>97</v>
      </c>
    </row>
    <row r="55" spans="1:19" x14ac:dyDescent="0.2">
      <c r="B55" s="53" t="s">
        <v>98</v>
      </c>
      <c r="C55" s="54" t="s">
        <v>161</v>
      </c>
    </row>
    <row r="56" spans="1:19" x14ac:dyDescent="0.2">
      <c r="B56" s="53" t="s">
        <v>99</v>
      </c>
      <c r="C56" s="54" t="s">
        <v>144</v>
      </c>
    </row>
    <row r="57" spans="1:19" x14ac:dyDescent="0.2">
      <c r="B57" s="53" t="s">
        <v>100</v>
      </c>
      <c r="C57" s="53">
        <v>0.2</v>
      </c>
    </row>
    <row r="58" spans="1:19" x14ac:dyDescent="0.2">
      <c r="B58" s="53" t="s">
        <v>101</v>
      </c>
      <c r="C58" s="53">
        <v>60</v>
      </c>
    </row>
    <row r="59" spans="1:19" x14ac:dyDescent="0.2">
      <c r="B59" s="53" t="s">
        <v>34</v>
      </c>
      <c r="C59" s="53" t="s">
        <v>97</v>
      </c>
    </row>
    <row r="60" spans="1:19" x14ac:dyDescent="0.2">
      <c r="B60" s="53" t="s">
        <v>98</v>
      </c>
      <c r="C60" s="54" t="s">
        <v>162</v>
      </c>
    </row>
    <row r="61" spans="1:19" x14ac:dyDescent="0.2">
      <c r="B61" s="53" t="s">
        <v>99</v>
      </c>
      <c r="C61" s="54" t="s">
        <v>159</v>
      </c>
    </row>
    <row r="62" spans="1:19" x14ac:dyDescent="0.2">
      <c r="B62" s="53" t="s">
        <v>100</v>
      </c>
      <c r="C62" s="53">
        <v>0.2</v>
      </c>
    </row>
    <row r="63" spans="1:19" x14ac:dyDescent="0.2">
      <c r="B63" s="53" t="s">
        <v>101</v>
      </c>
      <c r="C63" s="53">
        <v>60</v>
      </c>
    </row>
    <row r="64" spans="1:19" x14ac:dyDescent="0.2">
      <c r="B64" s="53" t="s">
        <v>34</v>
      </c>
      <c r="C64" s="53" t="s">
        <v>97</v>
      </c>
    </row>
    <row r="65" spans="1:18" x14ac:dyDescent="0.2">
      <c r="B65" s="53" t="s">
        <v>98</v>
      </c>
      <c r="C65" s="54" t="s">
        <v>163</v>
      </c>
    </row>
    <row r="66" spans="1:18" x14ac:dyDescent="0.2">
      <c r="B66" s="53" t="s">
        <v>99</v>
      </c>
      <c r="C66" s="54" t="s">
        <v>160</v>
      </c>
    </row>
    <row r="67" spans="1:18" x14ac:dyDescent="0.2">
      <c r="B67" s="53" t="s">
        <v>100</v>
      </c>
      <c r="C67" s="53">
        <v>0.2</v>
      </c>
    </row>
    <row r="68" spans="1:18" x14ac:dyDescent="0.2">
      <c r="B68" s="53" t="s">
        <v>101</v>
      </c>
      <c r="C68" s="53">
        <v>60</v>
      </c>
    </row>
    <row r="70" spans="1:18" x14ac:dyDescent="0.2">
      <c r="A70" s="4" t="s">
        <v>30</v>
      </c>
      <c r="B70" s="92" t="s">
        <v>31</v>
      </c>
      <c r="C70" s="104" t="s">
        <v>63</v>
      </c>
      <c r="F70" s="2"/>
      <c r="G70" s="2"/>
      <c r="H70" s="2"/>
      <c r="I70" s="2"/>
      <c r="J70" s="2"/>
      <c r="K70" s="2"/>
      <c r="L70" s="2"/>
      <c r="M70" s="2"/>
      <c r="N70" s="1"/>
      <c r="O70" s="1"/>
      <c r="Q70" s="2"/>
      <c r="R70" s="2"/>
    </row>
    <row r="71" spans="1:18" x14ac:dyDescent="0.2">
      <c r="B71" s="92"/>
      <c r="C71" s="104"/>
      <c r="F71" s="2"/>
      <c r="G71" s="2"/>
      <c r="H71" s="2"/>
      <c r="I71" s="2"/>
      <c r="J71" s="2"/>
      <c r="K71" s="2"/>
      <c r="L71" s="2"/>
      <c r="M71" s="2"/>
      <c r="N71" s="1"/>
      <c r="O71" s="1"/>
      <c r="Q71" s="2"/>
      <c r="R71" s="2"/>
    </row>
    <row r="72" spans="1:18" x14ac:dyDescent="0.2">
      <c r="A72" s="2"/>
      <c r="B72" s="104" t="s">
        <v>8</v>
      </c>
      <c r="C72" s="105" t="s">
        <v>9</v>
      </c>
      <c r="F72" s="2"/>
      <c r="G72" s="2"/>
      <c r="H72" s="2"/>
      <c r="I72" s="2"/>
      <c r="J72" s="2"/>
      <c r="K72" s="2"/>
      <c r="L72" s="2"/>
      <c r="M72" s="2"/>
      <c r="N72" s="1"/>
      <c r="O72" s="1"/>
      <c r="Q72" s="2"/>
      <c r="R72" s="2"/>
    </row>
    <row r="73" spans="1:18" x14ac:dyDescent="0.2">
      <c r="A73" s="2"/>
      <c r="B73" s="104" t="s">
        <v>17</v>
      </c>
      <c r="C73" s="105">
        <v>60</v>
      </c>
      <c r="F73" s="2"/>
      <c r="G73" s="2"/>
      <c r="H73" s="2"/>
      <c r="I73" s="2"/>
      <c r="J73" s="2"/>
      <c r="K73" s="2"/>
      <c r="L73" s="2"/>
      <c r="M73" s="2"/>
      <c r="N73" s="1"/>
      <c r="O73" s="1"/>
      <c r="Q73" s="2"/>
      <c r="R73" s="2"/>
    </row>
    <row r="74" spans="1:18" x14ac:dyDescent="0.2">
      <c r="B74" s="106" t="s">
        <v>25</v>
      </c>
      <c r="C74" s="105">
        <v>1</v>
      </c>
      <c r="F74" s="2"/>
      <c r="G74" s="2"/>
      <c r="H74" s="2"/>
      <c r="I74" s="2"/>
      <c r="J74" s="2"/>
      <c r="K74" s="2"/>
      <c r="L74" s="2"/>
      <c r="M74" s="2"/>
      <c r="N74" s="1"/>
      <c r="O74" s="1"/>
      <c r="Q74" s="2"/>
      <c r="R74" s="2"/>
    </row>
    <row r="75" spans="1:18" x14ac:dyDescent="0.2">
      <c r="A75" s="2"/>
      <c r="B75" s="106" t="s">
        <v>195</v>
      </c>
      <c r="C75" s="105">
        <v>1</v>
      </c>
      <c r="F75" s="2"/>
      <c r="G75" s="2"/>
      <c r="H75" s="2"/>
      <c r="I75" s="2"/>
      <c r="J75" s="2"/>
      <c r="K75" s="2"/>
      <c r="L75" s="2"/>
      <c r="M75" s="2"/>
      <c r="N75" s="1"/>
      <c r="O75" s="1"/>
      <c r="Q75" s="2"/>
      <c r="R75" s="2"/>
    </row>
    <row r="76" spans="1:18" x14ac:dyDescent="0.2">
      <c r="A76" s="2"/>
      <c r="B76" s="104"/>
      <c r="C76" s="104"/>
      <c r="F76" s="2"/>
      <c r="G76" s="2"/>
      <c r="H76" s="2"/>
      <c r="I76" s="2"/>
      <c r="J76" s="2"/>
      <c r="K76" s="2"/>
      <c r="L76" s="2"/>
      <c r="M76" s="2"/>
      <c r="N76" s="1"/>
      <c r="O76" s="1"/>
      <c r="Q76" s="2"/>
      <c r="R76" s="2"/>
    </row>
    <row r="77" spans="1:18" x14ac:dyDescent="0.2">
      <c r="A77" s="2"/>
      <c r="B77" s="104" t="s">
        <v>8</v>
      </c>
      <c r="C77" s="105" t="s">
        <v>9</v>
      </c>
      <c r="F77" s="2"/>
      <c r="G77" s="2"/>
      <c r="H77" s="2"/>
      <c r="I77" s="2"/>
      <c r="J77" s="2"/>
      <c r="K77" s="2"/>
      <c r="L77" s="2"/>
      <c r="M77" s="2"/>
      <c r="N77" s="1"/>
      <c r="O77" s="1"/>
      <c r="Q77" s="2"/>
      <c r="R77" s="2"/>
    </row>
    <row r="78" spans="1:18" x14ac:dyDescent="0.2">
      <c r="A78" s="2"/>
      <c r="B78" s="104" t="s">
        <v>17</v>
      </c>
      <c r="C78" s="105">
        <v>1</v>
      </c>
      <c r="F78" s="2"/>
      <c r="G78" s="2"/>
      <c r="H78" s="2"/>
      <c r="I78" s="2"/>
      <c r="J78" s="2"/>
      <c r="K78" s="2"/>
      <c r="L78" s="2"/>
      <c r="M78" s="2"/>
      <c r="N78" s="1"/>
      <c r="O78" s="1"/>
      <c r="Q78" s="2"/>
      <c r="R78" s="2"/>
    </row>
    <row r="79" spans="1:18" x14ac:dyDescent="0.2">
      <c r="A79" s="2"/>
      <c r="B79" s="106" t="s">
        <v>194</v>
      </c>
      <c r="C79" s="107" t="s">
        <v>92</v>
      </c>
      <c r="F79" s="2"/>
      <c r="G79" s="2"/>
      <c r="H79" s="2"/>
      <c r="I79" s="2"/>
      <c r="J79" s="2"/>
      <c r="K79" s="2"/>
      <c r="L79" s="2"/>
      <c r="M79" s="2"/>
      <c r="N79" s="1"/>
      <c r="O79" s="1"/>
      <c r="Q79" s="2"/>
      <c r="R79" s="2"/>
    </row>
    <row r="81" spans="1:18" x14ac:dyDescent="0.2">
      <c r="A81" s="5" t="s">
        <v>30</v>
      </c>
      <c r="B81" s="57" t="s">
        <v>31</v>
      </c>
      <c r="C81" s="58" t="s">
        <v>47</v>
      </c>
      <c r="D81" s="6"/>
      <c r="E81" s="6"/>
      <c r="F81" s="2"/>
      <c r="G81" s="2"/>
      <c r="H81" s="2"/>
      <c r="I81" s="2"/>
      <c r="J81" s="2"/>
      <c r="K81" s="2"/>
      <c r="L81" s="2"/>
      <c r="M81" s="2"/>
      <c r="Q81" s="2"/>
      <c r="R81" s="2"/>
    </row>
    <row r="82" spans="1:18" x14ac:dyDescent="0.2">
      <c r="A82" s="5"/>
      <c r="B82" s="58" t="s">
        <v>8</v>
      </c>
      <c r="C82" s="58" t="s">
        <v>32</v>
      </c>
      <c r="D82" s="6"/>
      <c r="E82" s="6"/>
      <c r="F82" s="2"/>
      <c r="G82" s="2"/>
      <c r="H82" s="2"/>
      <c r="I82" s="2"/>
      <c r="J82" s="2"/>
      <c r="K82" s="2"/>
      <c r="L82" s="2"/>
      <c r="M82" s="2"/>
      <c r="Q82" s="2"/>
      <c r="R82" s="2"/>
    </row>
    <row r="83" spans="1:18" x14ac:dyDescent="0.2">
      <c r="A83" s="5"/>
      <c r="B83" s="58" t="s">
        <v>45</v>
      </c>
      <c r="C83" s="58" t="s">
        <v>46</v>
      </c>
      <c r="D83" s="6"/>
      <c r="E83" s="6"/>
      <c r="F83" s="2"/>
      <c r="G83" s="2"/>
      <c r="H83" s="2"/>
      <c r="I83" s="2"/>
      <c r="J83" s="2"/>
      <c r="K83" s="2"/>
      <c r="L83" s="2"/>
      <c r="M83" s="2"/>
      <c r="Q83" s="2"/>
      <c r="R83" s="2"/>
    </row>
    <row r="84" spans="1:18" x14ac:dyDescent="0.2">
      <c r="A84" s="5"/>
      <c r="B84" s="58" t="s">
        <v>17</v>
      </c>
      <c r="C84" s="58">
        <f>LEFT(D84,3)*1</f>
        <v>180</v>
      </c>
      <c r="D84" s="16" t="s">
        <v>55</v>
      </c>
      <c r="E84" s="6"/>
      <c r="F84" s="2"/>
      <c r="G84" s="2"/>
      <c r="H84" s="2"/>
      <c r="I84" s="2"/>
      <c r="J84" s="2"/>
      <c r="K84" s="2"/>
      <c r="L84" s="2"/>
      <c r="M84" s="2"/>
      <c r="Q84" s="2"/>
      <c r="R84" s="2"/>
    </row>
    <row r="85" spans="1:18" x14ac:dyDescent="0.2">
      <c r="A85" s="5"/>
      <c r="B85" s="58" t="s">
        <v>34</v>
      </c>
      <c r="C85" s="58" t="s">
        <v>41</v>
      </c>
      <c r="D85" s="6"/>
      <c r="E85" s="6"/>
      <c r="F85" s="2"/>
      <c r="G85" s="2"/>
      <c r="H85" s="2"/>
      <c r="I85" s="2"/>
      <c r="J85" s="2"/>
      <c r="K85" s="2"/>
      <c r="L85" s="2"/>
      <c r="M85" s="2"/>
      <c r="Q85" s="2"/>
      <c r="R85" s="2"/>
    </row>
    <row r="86" spans="1:18" x14ac:dyDescent="0.2">
      <c r="A86" s="5"/>
      <c r="B86" s="58" t="s">
        <v>164</v>
      </c>
      <c r="C86" s="59">
        <v>0.2</v>
      </c>
      <c r="D86" s="6"/>
      <c r="E86" s="6"/>
      <c r="F86" s="2"/>
      <c r="G86" s="2"/>
      <c r="H86" s="2"/>
      <c r="I86" s="2"/>
      <c r="J86" s="2"/>
      <c r="K86" s="2"/>
      <c r="L86" s="2"/>
      <c r="M86" s="2"/>
      <c r="Q86" s="2"/>
      <c r="R86" s="2"/>
    </row>
    <row r="87" spans="1:18" x14ac:dyDescent="0.2">
      <c r="A87" s="5"/>
      <c r="B87" s="58" t="s">
        <v>34</v>
      </c>
      <c r="C87" s="58" t="s">
        <v>42</v>
      </c>
      <c r="D87" s="6"/>
      <c r="E87" s="6"/>
      <c r="F87" s="2"/>
      <c r="G87" s="2"/>
      <c r="H87" s="2"/>
      <c r="I87" s="2"/>
      <c r="J87" s="2"/>
      <c r="K87" s="2"/>
      <c r="L87" s="2"/>
      <c r="M87" s="2"/>
      <c r="Q87" s="2"/>
      <c r="R87" s="2"/>
    </row>
    <row r="88" spans="1:18" x14ac:dyDescent="0.2">
      <c r="A88" s="5"/>
      <c r="B88" s="58" t="s">
        <v>135</v>
      </c>
      <c r="C88" s="60" t="s">
        <v>14</v>
      </c>
      <c r="D88" s="6"/>
      <c r="E88" s="6"/>
      <c r="F88" s="2"/>
      <c r="G88" s="2"/>
      <c r="H88" s="2"/>
      <c r="I88" s="2"/>
      <c r="J88" s="2"/>
      <c r="K88" s="2"/>
      <c r="L88" s="2"/>
      <c r="M88" s="2"/>
      <c r="Q88" s="2"/>
      <c r="R88" s="2"/>
    </row>
    <row r="89" spans="1:18" x14ac:dyDescent="0.2">
      <c r="A89" s="5"/>
      <c r="B89" s="57"/>
      <c r="C89" s="58"/>
      <c r="D89" s="6"/>
      <c r="E89" s="6"/>
      <c r="F89" s="2"/>
      <c r="G89" s="2"/>
      <c r="H89" s="2"/>
      <c r="I89" s="2"/>
      <c r="J89" s="2"/>
      <c r="K89" s="2"/>
      <c r="L89" s="2"/>
      <c r="M89" s="2"/>
      <c r="Q89" s="2"/>
      <c r="R89" s="2"/>
    </row>
    <row r="90" spans="1:18" x14ac:dyDescent="0.2">
      <c r="A90" s="5"/>
      <c r="B90" s="58" t="s">
        <v>8</v>
      </c>
      <c r="C90" s="58" t="s">
        <v>9</v>
      </c>
      <c r="D90" s="16" t="s">
        <v>196</v>
      </c>
      <c r="E90" s="6"/>
      <c r="F90" s="2"/>
      <c r="G90" s="2"/>
      <c r="H90" s="2"/>
      <c r="I90" s="2"/>
      <c r="J90" s="2"/>
      <c r="K90" s="2"/>
      <c r="L90" s="2"/>
      <c r="M90" s="2"/>
      <c r="Q90" s="2"/>
      <c r="R90" s="2"/>
    </row>
    <row r="91" spans="1:18" x14ac:dyDescent="0.2">
      <c r="A91" s="5"/>
      <c r="B91" s="58" t="s">
        <v>17</v>
      </c>
      <c r="C91" s="58">
        <v>2</v>
      </c>
      <c r="D91" s="16"/>
      <c r="E91" s="6"/>
      <c r="F91" s="2"/>
      <c r="G91" s="2"/>
      <c r="H91" s="2"/>
      <c r="I91" s="2"/>
      <c r="J91" s="2"/>
      <c r="K91" s="2"/>
      <c r="L91" s="2"/>
      <c r="M91" s="2"/>
      <c r="Q91" s="2"/>
      <c r="R91" s="2"/>
    </row>
    <row r="92" spans="1:18" x14ac:dyDescent="0.2">
      <c r="A92" s="5" t="s">
        <v>21</v>
      </c>
      <c r="B92" s="58" t="s">
        <v>190</v>
      </c>
      <c r="C92" s="58">
        <v>1</v>
      </c>
      <c r="D92" s="16" t="s">
        <v>199</v>
      </c>
      <c r="E92" s="6"/>
      <c r="F92" s="2"/>
      <c r="G92" s="2"/>
      <c r="H92" s="2"/>
      <c r="I92" s="2"/>
      <c r="J92" s="2"/>
      <c r="K92" s="2"/>
      <c r="L92" s="2"/>
      <c r="M92" s="2"/>
      <c r="Q92" s="2"/>
      <c r="R92" s="2"/>
    </row>
    <row r="93" spans="1:18" x14ac:dyDescent="0.2">
      <c r="A93" s="5"/>
      <c r="B93" s="58" t="s">
        <v>25</v>
      </c>
      <c r="C93" s="58">
        <v>1</v>
      </c>
      <c r="D93" s="6"/>
      <c r="E93" s="6"/>
      <c r="F93" s="2"/>
      <c r="G93" s="2"/>
      <c r="H93" s="2"/>
      <c r="I93" s="2"/>
      <c r="J93" s="2"/>
      <c r="K93" s="2"/>
      <c r="L93" s="2"/>
      <c r="M93" s="2"/>
      <c r="Q93" s="2"/>
      <c r="R93" s="2"/>
    </row>
    <row r="94" spans="1:18" x14ac:dyDescent="0.2">
      <c r="A94" s="5"/>
      <c r="B94" s="58" t="s">
        <v>195</v>
      </c>
      <c r="C94" s="58">
        <v>1</v>
      </c>
      <c r="D94" s="6"/>
      <c r="E94" s="6"/>
      <c r="F94" s="2"/>
      <c r="G94" s="2"/>
      <c r="H94" s="2"/>
      <c r="I94" s="2"/>
      <c r="J94" s="2"/>
      <c r="K94" s="2"/>
      <c r="L94" s="2"/>
      <c r="M94" s="2"/>
      <c r="Q94" s="2"/>
      <c r="R94" s="2"/>
    </row>
    <row r="95" spans="1:18" x14ac:dyDescent="0.2">
      <c r="A95" s="5"/>
      <c r="B95" s="58"/>
      <c r="C95" s="58"/>
      <c r="D95" s="6"/>
      <c r="E95" s="6"/>
      <c r="F95" s="2"/>
      <c r="G95" s="2"/>
      <c r="H95" s="2"/>
      <c r="I95" s="2"/>
      <c r="J95" s="2"/>
      <c r="K95" s="2"/>
      <c r="L95" s="2"/>
      <c r="M95" s="2"/>
      <c r="Q95" s="2"/>
      <c r="R95" s="2"/>
    </row>
    <row r="96" spans="1:18" x14ac:dyDescent="0.2">
      <c r="A96" s="5"/>
      <c r="B96" s="58" t="s">
        <v>8</v>
      </c>
      <c r="C96" s="58" t="s">
        <v>32</v>
      </c>
      <c r="D96" s="16" t="str">
        <f>"If " &amp; C98 &amp; " seconds pass, OR Voltage &lt;" &amp; C100 &amp; " Volts, OR LB_ENBL is OFF go to next 'Step Type'"</f>
        <v>If 60 seconds pass, OR Voltage &lt;0.2 Volts, OR LB_ENBL is OFF go to next 'Step Type'</v>
      </c>
      <c r="E96" s="6"/>
      <c r="F96" s="2"/>
      <c r="G96" s="2"/>
      <c r="H96" s="2"/>
      <c r="I96" s="2"/>
      <c r="J96" s="2"/>
      <c r="K96" s="2"/>
      <c r="L96" s="2"/>
      <c r="M96" s="2"/>
      <c r="Q96" s="2"/>
      <c r="R96" s="2"/>
    </row>
    <row r="97" spans="1:18" x14ac:dyDescent="0.2">
      <c r="A97" s="5"/>
      <c r="B97" s="58" t="s">
        <v>45</v>
      </c>
      <c r="C97" s="58" t="s">
        <v>46</v>
      </c>
      <c r="D97" s="6"/>
      <c r="E97" s="6"/>
      <c r="F97" s="2"/>
      <c r="G97" s="2"/>
      <c r="H97" s="2"/>
      <c r="I97" s="2"/>
      <c r="J97" s="2"/>
      <c r="K97" s="2"/>
      <c r="L97" s="2"/>
      <c r="M97" s="2"/>
      <c r="Q97" s="2"/>
      <c r="R97" s="2"/>
    </row>
    <row r="98" spans="1:18" x14ac:dyDescent="0.2">
      <c r="A98" s="5"/>
      <c r="B98" s="58" t="s">
        <v>17</v>
      </c>
      <c r="C98" s="58">
        <v>60</v>
      </c>
      <c r="D98" s="6"/>
      <c r="E98" s="6"/>
      <c r="F98" s="2"/>
      <c r="G98" s="2"/>
      <c r="H98" s="2"/>
      <c r="I98" s="2"/>
      <c r="J98" s="2"/>
      <c r="K98" s="2"/>
      <c r="L98" s="2"/>
      <c r="M98" s="2"/>
      <c r="Q98" s="2"/>
      <c r="R98" s="2"/>
    </row>
    <row r="99" spans="1:18" x14ac:dyDescent="0.2">
      <c r="A99" s="5"/>
      <c r="B99" s="58" t="s">
        <v>34</v>
      </c>
      <c r="C99" s="58" t="s">
        <v>41</v>
      </c>
      <c r="D99" s="6"/>
      <c r="E99" s="6"/>
      <c r="F99" s="2"/>
      <c r="G99" s="2"/>
      <c r="H99" s="2"/>
      <c r="I99" s="2"/>
      <c r="J99" s="2"/>
      <c r="K99" s="2"/>
      <c r="L99" s="2"/>
      <c r="M99" s="2"/>
      <c r="Q99" s="2"/>
      <c r="R99" s="2"/>
    </row>
    <row r="100" spans="1:18" x14ac:dyDescent="0.2">
      <c r="A100" s="5"/>
      <c r="B100" s="58" t="s">
        <v>164</v>
      </c>
      <c r="C100" s="59">
        <v>0.2</v>
      </c>
      <c r="D100" s="16" t="s">
        <v>198</v>
      </c>
      <c r="E100" s="6"/>
      <c r="F100" s="2"/>
      <c r="G100" s="2"/>
      <c r="H100" s="2"/>
      <c r="I100" s="2"/>
      <c r="J100" s="2"/>
      <c r="K100" s="2"/>
      <c r="L100" s="2"/>
      <c r="M100" s="2"/>
      <c r="Q100" s="2"/>
      <c r="R100" s="2"/>
    </row>
    <row r="101" spans="1:18" x14ac:dyDescent="0.2">
      <c r="A101" s="5"/>
      <c r="B101" s="58" t="s">
        <v>34</v>
      </c>
      <c r="C101" s="58" t="s">
        <v>42</v>
      </c>
      <c r="D101" s="6"/>
      <c r="E101" s="6"/>
      <c r="F101" s="2"/>
      <c r="G101" s="2"/>
      <c r="H101" s="2"/>
      <c r="I101" s="2"/>
      <c r="J101" s="2"/>
      <c r="K101" s="2"/>
      <c r="L101" s="2"/>
      <c r="M101" s="2"/>
      <c r="Q101" s="2"/>
      <c r="R101" s="2"/>
    </row>
    <row r="102" spans="1:18" x14ac:dyDescent="0.2">
      <c r="A102" s="5"/>
      <c r="B102" s="58" t="s">
        <v>135</v>
      </c>
      <c r="C102" s="60" t="s">
        <v>14</v>
      </c>
      <c r="D102" s="6"/>
      <c r="E102" s="6"/>
      <c r="F102" s="2"/>
      <c r="G102" s="2"/>
      <c r="H102" s="2"/>
      <c r="I102" s="2"/>
      <c r="J102" s="2"/>
      <c r="K102" s="2"/>
      <c r="L102" s="2"/>
      <c r="M102" s="2"/>
      <c r="Q102" s="2"/>
      <c r="R102" s="2"/>
    </row>
    <row r="103" spans="1:18" x14ac:dyDescent="0.2">
      <c r="A103" s="5"/>
      <c r="B103" s="58"/>
      <c r="C103" s="58"/>
      <c r="D103" s="6"/>
      <c r="E103" s="6"/>
      <c r="F103" s="2"/>
      <c r="G103" s="2"/>
      <c r="H103" s="2"/>
      <c r="I103" s="2"/>
      <c r="J103" s="2"/>
      <c r="K103" s="2"/>
      <c r="L103" s="2"/>
      <c r="M103" s="2"/>
      <c r="Q103" s="2"/>
      <c r="R103" s="2"/>
    </row>
    <row r="104" spans="1:18" x14ac:dyDescent="0.2">
      <c r="A104" s="5"/>
      <c r="B104" s="58" t="s">
        <v>8</v>
      </c>
      <c r="C104" s="58" t="s">
        <v>9</v>
      </c>
      <c r="D104" s="6"/>
      <c r="E104" s="6"/>
      <c r="F104" s="2"/>
      <c r="G104" s="2"/>
      <c r="H104" s="2"/>
      <c r="I104" s="2"/>
      <c r="J104" s="2"/>
      <c r="K104" s="2"/>
      <c r="L104" s="2"/>
      <c r="M104" s="2"/>
      <c r="Q104" s="2"/>
      <c r="R104" s="2"/>
    </row>
    <row r="105" spans="1:18" x14ac:dyDescent="0.2">
      <c r="A105" s="5"/>
      <c r="B105" s="58" t="s">
        <v>17</v>
      </c>
      <c r="C105" s="58">
        <v>2</v>
      </c>
      <c r="D105" s="6"/>
      <c r="E105" s="6"/>
      <c r="F105" s="2"/>
      <c r="G105" s="2"/>
      <c r="H105" s="2"/>
      <c r="I105" s="2"/>
      <c r="J105" s="2"/>
      <c r="K105" s="2"/>
      <c r="L105" s="2"/>
      <c r="M105" s="2"/>
      <c r="Q105" s="2"/>
      <c r="R105" s="2"/>
    </row>
    <row r="106" spans="1:18" x14ac:dyDescent="0.2">
      <c r="A106" s="5"/>
      <c r="B106" s="58" t="s">
        <v>194</v>
      </c>
      <c r="C106" s="60" t="s">
        <v>92</v>
      </c>
      <c r="D106" s="16" t="s">
        <v>197</v>
      </c>
      <c r="E106" s="6"/>
      <c r="F106" s="2"/>
      <c r="G106" s="2"/>
      <c r="H106" s="2"/>
      <c r="I106" s="2"/>
      <c r="J106" s="2"/>
      <c r="K106" s="2"/>
      <c r="L106" s="2"/>
      <c r="M106" s="2"/>
      <c r="Q106" s="2"/>
      <c r="R106" s="2"/>
    </row>
    <row r="108" spans="1:18" x14ac:dyDescent="0.2">
      <c r="A108" s="4" t="s">
        <v>6</v>
      </c>
      <c r="L108" s="2"/>
      <c r="M108" s="2"/>
      <c r="N108" s="1"/>
      <c r="O108" s="1"/>
      <c r="Q108" s="2"/>
      <c r="R108" s="2"/>
    </row>
    <row r="109" spans="1:18" x14ac:dyDescent="0.2">
      <c r="B109" s="2" t="s">
        <v>8</v>
      </c>
      <c r="C109" s="2" t="s">
        <v>9</v>
      </c>
      <c r="L109" s="2"/>
      <c r="M109" s="2"/>
      <c r="N109" s="1"/>
      <c r="O109" s="1"/>
      <c r="Q109" s="2"/>
      <c r="R109" s="2"/>
    </row>
    <row r="110" spans="1:18" x14ac:dyDescent="0.2">
      <c r="B110" s="2" t="s">
        <v>17</v>
      </c>
      <c r="C110" s="2">
        <v>2</v>
      </c>
      <c r="L110" s="2"/>
      <c r="M110" s="2"/>
      <c r="N110" s="1"/>
      <c r="O110" s="1"/>
      <c r="Q110" s="2"/>
      <c r="R110" s="2"/>
    </row>
    <row r="111" spans="1:18" x14ac:dyDescent="0.2">
      <c r="B111" s="2" t="s">
        <v>166</v>
      </c>
      <c r="C111" s="2" t="str">
        <f ca="1">MID(CELL("filename",A1),FIND("]",CELL("filename",A1))+1,256) &amp; " Finished"</f>
        <v>LowPqual Finished</v>
      </c>
      <c r="L111" s="2"/>
      <c r="M111" s="2"/>
      <c r="N111" s="1"/>
      <c r="O111" s="1"/>
      <c r="Q111" s="2"/>
      <c r="R111" s="2"/>
    </row>
    <row r="112" spans="1:18" x14ac:dyDescent="0.2">
      <c r="B112" s="2" t="s">
        <v>193</v>
      </c>
      <c r="C112" s="6" t="s">
        <v>48</v>
      </c>
      <c r="L112" s="2"/>
      <c r="M112" s="2"/>
      <c r="N112" s="1"/>
      <c r="O112" s="1"/>
      <c r="Q112" s="2"/>
      <c r="R112" s="2"/>
    </row>
    <row r="113" spans="1:18" x14ac:dyDescent="0.2">
      <c r="B113" s="2" t="s">
        <v>201</v>
      </c>
      <c r="C113" s="25" t="s">
        <v>92</v>
      </c>
      <c r="L113" s="2"/>
      <c r="M113" s="2"/>
      <c r="N113" s="1"/>
      <c r="O113" s="1"/>
      <c r="Q113" s="2"/>
      <c r="R113" s="2"/>
    </row>
    <row r="114" spans="1:18" x14ac:dyDescent="0.2">
      <c r="B114" s="2" t="s">
        <v>202</v>
      </c>
      <c r="C114" s="25" t="s">
        <v>92</v>
      </c>
      <c r="D114" s="3" t="s">
        <v>200</v>
      </c>
      <c r="L114" s="2"/>
      <c r="M114" s="2"/>
      <c r="N114" s="1"/>
      <c r="O114" s="1"/>
      <c r="Q114" s="2"/>
      <c r="R114" s="2"/>
    </row>
    <row r="116" spans="1:18" x14ac:dyDescent="0.2">
      <c r="A116" s="4" t="s">
        <v>7</v>
      </c>
    </row>
  </sheetData>
  <phoneticPr fontId="0" type="noConversion"/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3D4D-7964-4BD3-8766-D7FF38D4C8FB}">
  <sheetPr codeName="Sheet2">
    <pageSetUpPr fitToPage="1"/>
  </sheetPr>
  <dimension ref="A1:U188"/>
  <sheetViews>
    <sheetView topLeftCell="B32" zoomScale="90" zoomScaleNormal="90" zoomScaleSheetLayoutView="70" workbookViewId="0">
      <selection activeCell="F60" sqref="F60"/>
    </sheetView>
  </sheetViews>
  <sheetFormatPr defaultRowHeight="12.75" x14ac:dyDescent="0.25"/>
  <cols>
    <col min="1" max="1" width="11.5703125" style="360" bestFit="1" customWidth="1"/>
    <col min="2" max="2" width="45.85546875" style="361" customWidth="1"/>
    <col min="3" max="3" width="20.140625" style="361" customWidth="1"/>
    <col min="4" max="4" width="7.85546875" style="361" customWidth="1"/>
    <col min="5" max="5" width="18.42578125" style="361" bestFit="1" customWidth="1"/>
    <col min="6" max="6" width="8.42578125" style="369" bestFit="1" customWidth="1"/>
    <col min="7" max="7" width="8.7109375" style="369" bestFit="1" customWidth="1"/>
    <col min="8" max="8" width="8.5703125" style="369" bestFit="1" customWidth="1"/>
    <col min="9" max="9" width="9.28515625" style="369" bestFit="1" customWidth="1"/>
    <col min="10" max="10" width="9.85546875" style="369" bestFit="1" customWidth="1"/>
    <col min="11" max="11" width="6.42578125" style="369" customWidth="1"/>
    <col min="12" max="13" width="8.140625" style="369" customWidth="1"/>
    <col min="14" max="14" width="7.28515625" style="361" customWidth="1"/>
    <col min="15" max="15" width="9.5703125" style="361" customWidth="1"/>
    <col min="16" max="16" width="9.5703125" style="361" bestFit="1" customWidth="1"/>
    <col min="17" max="18" width="7.5703125" style="363" bestFit="1" customWidth="1"/>
    <col min="19" max="19" width="9.140625" style="361" customWidth="1"/>
    <col min="20" max="16384" width="9.140625" style="361"/>
  </cols>
  <sheetData>
    <row r="1" spans="1:18" s="360" customFormat="1" x14ac:dyDescent="0.25">
      <c r="A1" s="360" t="s">
        <v>3</v>
      </c>
      <c r="B1" s="360" t="s">
        <v>4</v>
      </c>
      <c r="C1" s="361"/>
      <c r="E1" s="361"/>
      <c r="F1" s="369"/>
      <c r="G1" s="369"/>
      <c r="H1" s="369"/>
      <c r="I1" s="369"/>
      <c r="J1" s="369"/>
      <c r="K1" s="369"/>
      <c r="L1" s="369"/>
      <c r="M1" s="369"/>
      <c r="N1" s="361"/>
      <c r="O1" s="361"/>
      <c r="P1" s="361"/>
      <c r="Q1" s="363"/>
      <c r="R1" s="363"/>
    </row>
    <row r="2" spans="1:18" x14ac:dyDescent="0.25">
      <c r="A2" s="360" t="s">
        <v>0</v>
      </c>
      <c r="B2" s="368" t="s">
        <v>1</v>
      </c>
      <c r="C2" s="368" t="s">
        <v>2</v>
      </c>
    </row>
    <row r="4" spans="1:18" x14ac:dyDescent="0.25">
      <c r="A4" s="360" t="s">
        <v>5</v>
      </c>
    </row>
    <row r="5" spans="1:18" x14ac:dyDescent="0.25">
      <c r="B5" s="361" t="s">
        <v>8</v>
      </c>
      <c r="C5" s="361" t="s">
        <v>9</v>
      </c>
    </row>
    <row r="6" spans="1:18" x14ac:dyDescent="0.25">
      <c r="B6" s="361" t="s">
        <v>17</v>
      </c>
      <c r="C6" s="362">
        <v>2</v>
      </c>
    </row>
    <row r="7" spans="1:18" x14ac:dyDescent="0.25">
      <c r="B7" s="361" t="s">
        <v>166</v>
      </c>
      <c r="C7" s="362" t="s">
        <v>5</v>
      </c>
    </row>
    <row r="8" spans="1:18" x14ac:dyDescent="0.25">
      <c r="B8" s="361" t="s">
        <v>191</v>
      </c>
      <c r="C8" s="362" t="s">
        <v>388</v>
      </c>
    </row>
    <row r="9" spans="1:18" x14ac:dyDescent="0.25">
      <c r="B9" s="361" t="s">
        <v>193</v>
      </c>
      <c r="C9" s="362" t="s">
        <v>92</v>
      </c>
    </row>
    <row r="10" spans="1:18" x14ac:dyDescent="0.25">
      <c r="C10" s="362"/>
    </row>
    <row r="11" spans="1:18" x14ac:dyDescent="0.25">
      <c r="B11" s="361" t="s">
        <v>135</v>
      </c>
      <c r="C11" s="362" t="s">
        <v>14</v>
      </c>
    </row>
    <row r="12" spans="1:18" x14ac:dyDescent="0.25">
      <c r="B12" s="361" t="s">
        <v>133</v>
      </c>
      <c r="C12" s="362" t="s">
        <v>68</v>
      </c>
    </row>
    <row r="13" spans="1:18" x14ac:dyDescent="0.25">
      <c r="B13" s="361" t="s">
        <v>136</v>
      </c>
      <c r="C13" s="364">
        <v>1.1000000000000001</v>
      </c>
    </row>
    <row r="14" spans="1:18" x14ac:dyDescent="0.25">
      <c r="B14" s="361" t="s">
        <v>137</v>
      </c>
      <c r="C14" s="365">
        <v>0</v>
      </c>
    </row>
    <row r="15" spans="1:18" x14ac:dyDescent="0.25">
      <c r="A15" s="360" t="s">
        <v>21</v>
      </c>
      <c r="B15" s="361" t="s">
        <v>211</v>
      </c>
      <c r="C15" s="416">
        <v>1000</v>
      </c>
      <c r="D15" s="368" t="s">
        <v>213</v>
      </c>
    </row>
    <row r="16" spans="1:18" x14ac:dyDescent="0.25">
      <c r="A16" s="360" t="s">
        <v>21</v>
      </c>
      <c r="B16" s="361" t="s">
        <v>102</v>
      </c>
      <c r="C16" s="416">
        <v>6000</v>
      </c>
    </row>
    <row r="17" spans="1:18" x14ac:dyDescent="0.25">
      <c r="C17" s="364"/>
    </row>
    <row r="18" spans="1:18" x14ac:dyDescent="0.25">
      <c r="B18" s="361" t="s">
        <v>167</v>
      </c>
      <c r="C18" s="416">
        <v>100</v>
      </c>
    </row>
    <row r="19" spans="1:18" x14ac:dyDescent="0.25">
      <c r="B19" s="361" t="s">
        <v>139</v>
      </c>
      <c r="C19" s="362">
        <v>0</v>
      </c>
    </row>
    <row r="20" spans="1:18" s="369" customFormat="1" x14ac:dyDescent="0.25">
      <c r="A20" s="417"/>
      <c r="B20" s="369" t="s">
        <v>138</v>
      </c>
      <c r="C20" s="370">
        <v>0</v>
      </c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  <c r="P20" s="402"/>
    </row>
    <row r="21" spans="1:18" x14ac:dyDescent="0.25">
      <c r="B21" s="361" t="s">
        <v>149</v>
      </c>
      <c r="C21" s="362">
        <v>0</v>
      </c>
    </row>
    <row r="22" spans="1:18" x14ac:dyDescent="0.25">
      <c r="B22" s="361" t="s">
        <v>150</v>
      </c>
      <c r="C22" s="362">
        <v>0</v>
      </c>
    </row>
    <row r="23" spans="1:18" x14ac:dyDescent="0.25">
      <c r="A23" s="361"/>
      <c r="B23" s="361" t="s">
        <v>151</v>
      </c>
      <c r="C23" s="362" t="s">
        <v>168</v>
      </c>
      <c r="D23" s="368"/>
      <c r="F23" s="361"/>
      <c r="G23" s="361"/>
      <c r="H23" s="361"/>
      <c r="I23" s="361"/>
      <c r="J23" s="361"/>
      <c r="K23" s="361"/>
      <c r="L23" s="361"/>
      <c r="M23" s="361"/>
      <c r="Q23" s="361"/>
      <c r="R23" s="361"/>
    </row>
    <row r="24" spans="1:18" x14ac:dyDescent="0.25">
      <c r="A24" s="361"/>
      <c r="C24" s="362"/>
      <c r="D24" s="368"/>
      <c r="F24" s="361"/>
      <c r="G24" s="361"/>
      <c r="H24" s="361"/>
      <c r="I24" s="361"/>
      <c r="J24" s="361"/>
      <c r="K24" s="361"/>
      <c r="L24" s="361"/>
      <c r="M24" s="361"/>
      <c r="Q24" s="361"/>
      <c r="R24" s="361"/>
    </row>
    <row r="25" spans="1:18" x14ac:dyDescent="0.25">
      <c r="A25" s="361"/>
      <c r="B25" s="371" t="s">
        <v>152</v>
      </c>
      <c r="C25" s="362" t="s">
        <v>48</v>
      </c>
      <c r="D25" s="368"/>
      <c r="Q25" s="361"/>
      <c r="R25" s="361"/>
    </row>
    <row r="26" spans="1:18" x14ac:dyDescent="0.25">
      <c r="A26" s="361"/>
      <c r="B26" s="371" t="s">
        <v>153</v>
      </c>
      <c r="C26" s="362" t="s">
        <v>92</v>
      </c>
      <c r="D26" s="372"/>
      <c r="Q26" s="361"/>
      <c r="R26" s="361"/>
    </row>
    <row r="27" spans="1:18" s="358" customFormat="1" x14ac:dyDescent="0.25">
      <c r="A27" s="418"/>
      <c r="B27" s="419" t="s">
        <v>178</v>
      </c>
      <c r="C27" s="370" t="s">
        <v>92</v>
      </c>
      <c r="D27" s="420" t="s">
        <v>179</v>
      </c>
      <c r="Q27" s="359"/>
      <c r="R27" s="359"/>
    </row>
    <row r="28" spans="1:18" x14ac:dyDescent="0.25">
      <c r="A28" s="361"/>
      <c r="B28" s="361" t="s">
        <v>154</v>
      </c>
      <c r="C28" s="362" t="s">
        <v>14</v>
      </c>
      <c r="D28" s="368"/>
      <c r="Q28" s="361"/>
      <c r="R28" s="361"/>
    </row>
    <row r="29" spans="1:18" x14ac:dyDescent="0.25">
      <c r="A29" s="361"/>
      <c r="B29" s="361" t="s">
        <v>155</v>
      </c>
      <c r="C29" s="362" t="s">
        <v>14</v>
      </c>
      <c r="D29" s="368"/>
      <c r="Q29" s="361"/>
      <c r="R29" s="361"/>
    </row>
    <row r="30" spans="1:18" x14ac:dyDescent="0.25">
      <c r="A30" s="361"/>
      <c r="C30" s="362"/>
      <c r="D30" s="368"/>
      <c r="Q30" s="361"/>
      <c r="R30" s="361"/>
    </row>
    <row r="31" spans="1:18" x14ac:dyDescent="0.25">
      <c r="A31" s="361"/>
      <c r="B31" s="361" t="s">
        <v>16</v>
      </c>
      <c r="C31" s="362" t="s">
        <v>24</v>
      </c>
      <c r="D31" s="368"/>
      <c r="E31" s="368"/>
      <c r="Q31" s="361"/>
      <c r="R31" s="361"/>
    </row>
    <row r="32" spans="1:18" x14ac:dyDescent="0.25">
      <c r="A32" s="361"/>
      <c r="B32" s="361" t="s">
        <v>25</v>
      </c>
      <c r="C32" s="362">
        <v>30</v>
      </c>
      <c r="D32" s="368"/>
      <c r="Q32" s="361"/>
      <c r="R32" s="361"/>
    </row>
    <row r="33" spans="1:21" x14ac:dyDescent="0.25">
      <c r="A33" s="361"/>
      <c r="B33" s="361" t="s">
        <v>195</v>
      </c>
      <c r="C33" s="362">
        <v>1</v>
      </c>
      <c r="D33" s="368"/>
      <c r="Q33" s="361"/>
      <c r="R33" s="361"/>
    </row>
    <row r="34" spans="1:21" x14ac:dyDescent="0.25">
      <c r="A34" s="361"/>
      <c r="B34" s="361" t="s">
        <v>190</v>
      </c>
      <c r="C34" s="362">
        <v>1</v>
      </c>
      <c r="D34" s="368"/>
      <c r="Q34" s="361"/>
      <c r="R34" s="361"/>
    </row>
    <row r="35" spans="1:21" ht="12" x14ac:dyDescent="0.2">
      <c r="A35" s="361"/>
      <c r="C35" s="362"/>
      <c r="Q35" s="361"/>
      <c r="R35" s="361"/>
    </row>
    <row r="36" spans="1:21" ht="12" x14ac:dyDescent="0.2">
      <c r="A36" s="361"/>
      <c r="B36" s="361" t="s">
        <v>156</v>
      </c>
      <c r="C36" s="364" t="s">
        <v>24</v>
      </c>
      <c r="F36" s="361"/>
      <c r="G36" s="361"/>
      <c r="H36" s="361"/>
      <c r="I36" s="361"/>
      <c r="J36" s="361"/>
      <c r="K36" s="361"/>
      <c r="L36" s="361"/>
      <c r="M36" s="361"/>
      <c r="Q36" s="361"/>
      <c r="R36" s="361"/>
    </row>
    <row r="37" spans="1:21" ht="12" x14ac:dyDescent="0.2">
      <c r="A37" s="361"/>
      <c r="B37" s="361" t="s">
        <v>157</v>
      </c>
      <c r="C37" s="364">
        <v>-0.1</v>
      </c>
      <c r="F37" s="361"/>
      <c r="G37" s="361"/>
      <c r="H37" s="361"/>
      <c r="I37" s="361"/>
      <c r="J37" s="361"/>
      <c r="K37" s="361"/>
      <c r="L37" s="361"/>
      <c r="M37" s="361"/>
      <c r="Q37" s="361"/>
      <c r="R37" s="361"/>
    </row>
    <row r="38" spans="1:21" ht="12" x14ac:dyDescent="0.2">
      <c r="A38" s="361"/>
      <c r="B38" s="361" t="s">
        <v>158</v>
      </c>
      <c r="C38" s="362" t="s">
        <v>92</v>
      </c>
      <c r="Q38" s="361"/>
      <c r="R38" s="361"/>
    </row>
    <row r="39" spans="1:21" x14ac:dyDescent="0.25">
      <c r="B39" s="371"/>
      <c r="C39" s="362"/>
      <c r="Q39" s="361"/>
    </row>
    <row r="40" spans="1:21" s="385" customFormat="1" ht="48.75" x14ac:dyDescent="0.25">
      <c r="A40" s="385" t="s">
        <v>15</v>
      </c>
      <c r="B40" s="385" t="s">
        <v>10</v>
      </c>
      <c r="C40" s="386" t="s">
        <v>11</v>
      </c>
      <c r="D40" s="387" t="s">
        <v>12</v>
      </c>
      <c r="E40" s="363" t="s">
        <v>27</v>
      </c>
      <c r="F40" s="421" t="s">
        <v>133</v>
      </c>
      <c r="G40" s="402" t="s">
        <v>135</v>
      </c>
      <c r="H40" s="421" t="s">
        <v>136</v>
      </c>
      <c r="I40" s="421" t="s">
        <v>389</v>
      </c>
      <c r="J40" s="421" t="s">
        <v>140</v>
      </c>
      <c r="K40" s="421" t="s">
        <v>167</v>
      </c>
      <c r="L40" s="421" t="s">
        <v>141</v>
      </c>
      <c r="M40" s="421" t="s">
        <v>142</v>
      </c>
      <c r="N40" s="386" t="s">
        <v>143</v>
      </c>
      <c r="O40" s="386" t="s">
        <v>145</v>
      </c>
      <c r="P40" s="386" t="s">
        <v>146</v>
      </c>
      <c r="Q40" s="386" t="s">
        <v>147</v>
      </c>
      <c r="R40" s="386" t="s">
        <v>148</v>
      </c>
      <c r="S40" s="388" t="s">
        <v>102</v>
      </c>
    </row>
    <row r="41" spans="1:21" s="391" customFormat="1" ht="25.5" x14ac:dyDescent="0.25">
      <c r="A41" s="380" t="s">
        <v>21</v>
      </c>
      <c r="B41" s="389" t="s">
        <v>71</v>
      </c>
      <c r="C41" s="390" t="s">
        <v>13</v>
      </c>
      <c r="D41" s="390" t="s">
        <v>13</v>
      </c>
      <c r="E41" s="390" t="s">
        <v>28</v>
      </c>
      <c r="F41" s="422" t="s">
        <v>85</v>
      </c>
      <c r="G41" s="422" t="s">
        <v>26</v>
      </c>
      <c r="H41" s="422" t="s">
        <v>18</v>
      </c>
      <c r="I41" s="422" t="s">
        <v>20</v>
      </c>
      <c r="J41" s="422" t="s">
        <v>37</v>
      </c>
      <c r="K41" s="422"/>
      <c r="L41" s="422"/>
      <c r="M41" s="422"/>
      <c r="N41" s="390" t="s">
        <v>59</v>
      </c>
      <c r="O41" s="390" t="s">
        <v>22</v>
      </c>
      <c r="P41" s="390" t="s">
        <v>22</v>
      </c>
      <c r="Q41" s="390" t="s">
        <v>23</v>
      </c>
      <c r="R41" s="390" t="s">
        <v>23</v>
      </c>
      <c r="S41" s="390" t="s">
        <v>369</v>
      </c>
    </row>
    <row r="42" spans="1:21" ht="13.5" x14ac:dyDescent="0.25">
      <c r="A42" s="380"/>
      <c r="B42" s="423" t="s">
        <v>376</v>
      </c>
      <c r="C42" s="424">
        <v>2</v>
      </c>
      <c r="D42" s="424">
        <f>IF(A42="//","0",0)</f>
        <v>0</v>
      </c>
      <c r="E42" s="392" t="s">
        <v>104</v>
      </c>
      <c r="F42" s="424" t="s">
        <v>90</v>
      </c>
      <c r="G42" s="425" t="s">
        <v>92</v>
      </c>
      <c r="H42" s="426">
        <v>0.85</v>
      </c>
      <c r="I42" s="427">
        <v>0.01</v>
      </c>
      <c r="J42" s="427">
        <v>0.2</v>
      </c>
      <c r="K42" s="428">
        <v>63.2</v>
      </c>
      <c r="L42" s="427">
        <v>2</v>
      </c>
      <c r="M42" s="427">
        <v>2</v>
      </c>
      <c r="N42" s="424">
        <f>ROUND(N59-0.5*O59,1)</f>
        <v>48.7</v>
      </c>
      <c r="O42" s="428">
        <f>O43</f>
        <v>80.737771848421488</v>
      </c>
      <c r="P42" s="428">
        <f>P43</f>
        <v>73.112737870719684</v>
      </c>
      <c r="Q42" s="428">
        <f>Q43</f>
        <v>123.2</v>
      </c>
      <c r="R42" s="442">
        <f>R43</f>
        <v>101.8</v>
      </c>
      <c r="S42" s="424">
        <v>1000</v>
      </c>
    </row>
    <row r="43" spans="1:21" x14ac:dyDescent="0.25">
      <c r="A43" s="380" t="s">
        <v>21</v>
      </c>
      <c r="B43" s="429" t="str">
        <f>"Gen2.2 - "&amp;FIXED(I43,2)&amp;" A/cm²"</f>
        <v>Gen2.2 - 0.01 A/cm²</v>
      </c>
      <c r="C43" s="424">
        <v>60</v>
      </c>
      <c r="D43" s="424">
        <v>5</v>
      </c>
      <c r="E43" s="430" t="s">
        <v>371</v>
      </c>
      <c r="F43" s="424" t="s">
        <v>90</v>
      </c>
      <c r="G43" s="425" t="s">
        <v>92</v>
      </c>
      <c r="H43" s="426">
        <v>0.92</v>
      </c>
      <c r="I43" s="427">
        <v>0.01</v>
      </c>
      <c r="J43" s="427">
        <v>0.1</v>
      </c>
      <c r="K43" s="428">
        <v>63.2</v>
      </c>
      <c r="L43" s="427">
        <v>3.5</v>
      </c>
      <c r="M43" s="427">
        <v>3.1</v>
      </c>
      <c r="N43" s="428">
        <f>ROUND(N59-0.5*O59,1)</f>
        <v>48.7</v>
      </c>
      <c r="O43" s="428">
        <v>80.737771848421488</v>
      </c>
      <c r="P43" s="428">
        <v>73.112737870719684</v>
      </c>
      <c r="Q43" s="428">
        <v>123.2</v>
      </c>
      <c r="R43" s="428">
        <v>101.8</v>
      </c>
      <c r="S43" s="424">
        <v>1000</v>
      </c>
      <c r="T43" s="443"/>
      <c r="U43" s="443"/>
    </row>
    <row r="44" spans="1:21" x14ac:dyDescent="0.25">
      <c r="A44" s="380"/>
      <c r="B44" s="429" t="str">
        <f>"Gen2.2 - "&amp;FIXED(I44,2)&amp;" A/cm²"</f>
        <v>Gen2.2 - 0.02 A/cm²</v>
      </c>
      <c r="C44" s="424">
        <v>60</v>
      </c>
      <c r="D44" s="424">
        <v>5</v>
      </c>
      <c r="E44" s="430" t="s">
        <v>371</v>
      </c>
      <c r="F44" s="424" t="s">
        <v>90</v>
      </c>
      <c r="G44" s="425" t="s">
        <v>92</v>
      </c>
      <c r="H44" s="426">
        <v>0.89</v>
      </c>
      <c r="I44" s="427">
        <v>0.02</v>
      </c>
      <c r="J44" s="427"/>
      <c r="K44" s="428">
        <v>64.3</v>
      </c>
      <c r="L44" s="427"/>
      <c r="M44" s="427"/>
      <c r="N44" s="428">
        <f t="shared" ref="N44:N54" si="0">ROUND(N60-0.5*O60,1)</f>
        <v>49.2</v>
      </c>
      <c r="O44" s="428">
        <v>80.39777189894761</v>
      </c>
      <c r="P44" s="428">
        <v>73.196268440479145</v>
      </c>
      <c r="Q44" s="428">
        <v>124.5</v>
      </c>
      <c r="R44" s="428">
        <v>102.3</v>
      </c>
      <c r="S44" s="424">
        <v>1000</v>
      </c>
      <c r="T44" s="443"/>
      <c r="U44" s="443"/>
    </row>
    <row r="45" spans="1:21" x14ac:dyDescent="0.25">
      <c r="A45" s="380" t="s">
        <v>21</v>
      </c>
      <c r="B45" s="429" t="str">
        <f t="shared" ref="B45:B54" si="1">"Gen2.2 - "&amp;FIXED(I45,2)&amp;" A/cm²"</f>
        <v>Gen2.2 - 0.05 A/cm²</v>
      </c>
      <c r="C45" s="424">
        <v>60</v>
      </c>
      <c r="D45" s="424">
        <v>5</v>
      </c>
      <c r="E45" s="430" t="s">
        <v>371</v>
      </c>
      <c r="F45" s="424" t="s">
        <v>90</v>
      </c>
      <c r="G45" s="425" t="s">
        <v>92</v>
      </c>
      <c r="H45" s="426">
        <v>0.85</v>
      </c>
      <c r="I45" s="427">
        <v>0.05</v>
      </c>
      <c r="J45" s="427"/>
      <c r="K45" s="428">
        <v>66.7</v>
      </c>
      <c r="L45" s="427"/>
      <c r="M45" s="427"/>
      <c r="N45" s="428">
        <f t="shared" si="0"/>
        <v>48.8</v>
      </c>
      <c r="O45" s="428">
        <v>81.205614689682179</v>
      </c>
      <c r="P45" s="428">
        <v>69.709291628471377</v>
      </c>
      <c r="Q45" s="428">
        <v>127.8</v>
      </c>
      <c r="R45" s="428">
        <v>103.9</v>
      </c>
      <c r="S45" s="424">
        <v>1000</v>
      </c>
      <c r="T45" s="443"/>
      <c r="U45" s="443"/>
    </row>
    <row r="46" spans="1:21" x14ac:dyDescent="0.25">
      <c r="A46" s="380"/>
      <c r="B46" s="429" t="str">
        <f t="shared" si="1"/>
        <v>Gen2.2 - 0.10 A/cm²</v>
      </c>
      <c r="C46" s="424">
        <v>60</v>
      </c>
      <c r="D46" s="424">
        <v>5</v>
      </c>
      <c r="E46" s="430" t="s">
        <v>371</v>
      </c>
      <c r="F46" s="424" t="s">
        <v>90</v>
      </c>
      <c r="G46" s="425" t="s">
        <v>92</v>
      </c>
      <c r="H46" s="426">
        <v>0.83</v>
      </c>
      <c r="I46" s="427">
        <v>0.1</v>
      </c>
      <c r="J46" s="427">
        <f>I46</f>
        <v>0.1</v>
      </c>
      <c r="K46" s="428">
        <v>67.7</v>
      </c>
      <c r="L46" s="427">
        <v>3.5</v>
      </c>
      <c r="M46" s="427">
        <v>3.1</v>
      </c>
      <c r="N46" s="428">
        <f t="shared" si="0"/>
        <v>54.7</v>
      </c>
      <c r="O46" s="428">
        <v>81.141952164646341</v>
      </c>
      <c r="P46" s="428">
        <v>64.173444860727628</v>
      </c>
      <c r="Q46" s="428">
        <v>132.80000000000001</v>
      </c>
      <c r="R46" s="428">
        <v>106.8</v>
      </c>
      <c r="S46" s="424">
        <v>1000</v>
      </c>
      <c r="T46" s="443"/>
      <c r="U46" s="443"/>
    </row>
    <row r="47" spans="1:21" x14ac:dyDescent="0.25">
      <c r="A47" s="380"/>
      <c r="B47" s="429" t="str">
        <f t="shared" si="1"/>
        <v>Gen2.2 - 0.20 A/cm²</v>
      </c>
      <c r="C47" s="424">
        <v>60</v>
      </c>
      <c r="D47" s="424">
        <v>5</v>
      </c>
      <c r="E47" s="430" t="s">
        <v>371</v>
      </c>
      <c r="F47" s="424" t="s">
        <v>90</v>
      </c>
      <c r="G47" s="425" t="s">
        <v>92</v>
      </c>
      <c r="H47" s="426">
        <v>0.8</v>
      </c>
      <c r="I47" s="427">
        <v>0.2</v>
      </c>
      <c r="J47" s="427">
        <f t="shared" ref="J47:J54" si="2">I47</f>
        <v>0.2</v>
      </c>
      <c r="K47" s="428">
        <v>71.400000000000006</v>
      </c>
      <c r="L47" s="427">
        <v>2.5</v>
      </c>
      <c r="M47" s="427">
        <v>2.4</v>
      </c>
      <c r="N47" s="428">
        <f t="shared" si="0"/>
        <v>59</v>
      </c>
      <c r="O47" s="428">
        <v>80.174729501006098</v>
      </c>
      <c r="P47" s="428">
        <v>62.658063635479508</v>
      </c>
      <c r="Q47" s="428">
        <v>142.1</v>
      </c>
      <c r="R47" s="428">
        <v>113.2</v>
      </c>
      <c r="S47" s="424">
        <v>1000</v>
      </c>
      <c r="T47" s="443"/>
      <c r="U47" s="443"/>
    </row>
    <row r="48" spans="1:21" x14ac:dyDescent="0.25">
      <c r="A48" s="380" t="s">
        <v>21</v>
      </c>
      <c r="B48" s="429" t="str">
        <f t="shared" si="1"/>
        <v>Gen2.2 - 0.40 A/cm²</v>
      </c>
      <c r="C48" s="424">
        <v>60</v>
      </c>
      <c r="D48" s="424">
        <v>5</v>
      </c>
      <c r="E48" s="430" t="s">
        <v>371</v>
      </c>
      <c r="F48" s="424" t="s">
        <v>90</v>
      </c>
      <c r="G48" s="425" t="s">
        <v>92</v>
      </c>
      <c r="H48" s="426">
        <v>0.76</v>
      </c>
      <c r="I48" s="427">
        <v>0.4</v>
      </c>
      <c r="J48" s="427">
        <f t="shared" si="2"/>
        <v>0.4</v>
      </c>
      <c r="K48" s="428">
        <v>81.8</v>
      </c>
      <c r="L48" s="427">
        <v>1.5</v>
      </c>
      <c r="M48" s="427">
        <v>1.6</v>
      </c>
      <c r="N48" s="428">
        <f t="shared" si="0"/>
        <v>65</v>
      </c>
      <c r="O48" s="428">
        <v>58.192306985971108</v>
      </c>
      <c r="P48" s="428">
        <v>63.353029464725537</v>
      </c>
      <c r="Q48" s="428">
        <v>152.80000000000001</v>
      </c>
      <c r="R48" s="428">
        <v>121.5</v>
      </c>
      <c r="S48" s="424">
        <v>1000</v>
      </c>
      <c r="T48" s="443"/>
      <c r="U48" s="443"/>
    </row>
    <row r="49" spans="1:21" x14ac:dyDescent="0.25">
      <c r="A49" s="380"/>
      <c r="B49" s="429" t="str">
        <f t="shared" si="1"/>
        <v>Gen2.2 - 0.60 A/cm²</v>
      </c>
      <c r="C49" s="424">
        <v>120</v>
      </c>
      <c r="D49" s="424">
        <v>5</v>
      </c>
      <c r="E49" s="430" t="s">
        <v>371</v>
      </c>
      <c r="F49" s="424" t="s">
        <v>90</v>
      </c>
      <c r="G49" s="425" t="s">
        <v>92</v>
      </c>
      <c r="H49" s="426">
        <v>0.73</v>
      </c>
      <c r="I49" s="427">
        <v>0.6</v>
      </c>
      <c r="J49" s="427">
        <f t="shared" si="2"/>
        <v>0.6</v>
      </c>
      <c r="K49" s="428">
        <v>81.8</v>
      </c>
      <c r="L49" s="427">
        <v>1.5</v>
      </c>
      <c r="M49" s="427">
        <v>1.6</v>
      </c>
      <c r="N49" s="428">
        <f t="shared" si="0"/>
        <v>64.3</v>
      </c>
      <c r="O49" s="428">
        <v>52.388391258430858</v>
      </c>
      <c r="P49" s="428">
        <v>66.540115569265851</v>
      </c>
      <c r="Q49" s="428">
        <v>175.6</v>
      </c>
      <c r="R49" s="428">
        <v>141</v>
      </c>
      <c r="S49" s="424">
        <v>1000</v>
      </c>
      <c r="T49" s="443"/>
      <c r="U49" s="443"/>
    </row>
    <row r="50" spans="1:21" x14ac:dyDescent="0.25">
      <c r="A50" s="380" t="s">
        <v>21</v>
      </c>
      <c r="B50" s="429" t="str">
        <f t="shared" si="1"/>
        <v>Gen2.2 - 0.80 A/cm²</v>
      </c>
      <c r="C50" s="424">
        <v>120</v>
      </c>
      <c r="D50" s="424">
        <v>5</v>
      </c>
      <c r="E50" s="430" t="s">
        <v>371</v>
      </c>
      <c r="F50" s="424" t="s">
        <v>90</v>
      </c>
      <c r="G50" s="425" t="s">
        <v>92</v>
      </c>
      <c r="H50" s="426">
        <v>0.71</v>
      </c>
      <c r="I50" s="427">
        <v>0.8</v>
      </c>
      <c r="J50" s="427">
        <f t="shared" si="2"/>
        <v>0.8</v>
      </c>
      <c r="K50" s="428">
        <v>81.8</v>
      </c>
      <c r="L50" s="427">
        <v>1.5</v>
      </c>
      <c r="M50" s="427">
        <v>1.6</v>
      </c>
      <c r="N50" s="428">
        <f t="shared" si="0"/>
        <v>67.099999999999994</v>
      </c>
      <c r="O50" s="428">
        <v>49.753729955580432</v>
      </c>
      <c r="P50" s="428">
        <v>67.583287387812746</v>
      </c>
      <c r="Q50" s="428">
        <v>199</v>
      </c>
      <c r="R50" s="428">
        <v>161.9</v>
      </c>
      <c r="S50" s="424">
        <v>1000</v>
      </c>
      <c r="T50" s="443"/>
      <c r="U50" s="443"/>
    </row>
    <row r="51" spans="1:21" x14ac:dyDescent="0.25">
      <c r="A51" s="380"/>
      <c r="B51" s="429" t="str">
        <f t="shared" si="1"/>
        <v>Gen2.2 - 1.00 A/cm²</v>
      </c>
      <c r="C51" s="424">
        <v>120</v>
      </c>
      <c r="D51" s="424">
        <v>5</v>
      </c>
      <c r="E51" s="430" t="s">
        <v>371</v>
      </c>
      <c r="F51" s="424" t="s">
        <v>90</v>
      </c>
      <c r="G51" s="425" t="s">
        <v>92</v>
      </c>
      <c r="H51" s="426">
        <v>0.67</v>
      </c>
      <c r="I51" s="427">
        <v>1</v>
      </c>
      <c r="J51" s="427">
        <f t="shared" si="2"/>
        <v>1</v>
      </c>
      <c r="K51" s="428">
        <v>81.8</v>
      </c>
      <c r="L51" s="427">
        <v>1.5</v>
      </c>
      <c r="M51" s="427">
        <v>1.6</v>
      </c>
      <c r="N51" s="428">
        <f t="shared" si="0"/>
        <v>71.099999999999994</v>
      </c>
      <c r="O51" s="428">
        <v>43.974903015444738</v>
      </c>
      <c r="P51" s="428">
        <v>66.637991334865987</v>
      </c>
      <c r="Q51" s="428">
        <v>225.8</v>
      </c>
      <c r="R51" s="428">
        <v>186.8</v>
      </c>
      <c r="S51" s="424">
        <v>1000</v>
      </c>
      <c r="T51" s="443"/>
      <c r="U51" s="443"/>
    </row>
    <row r="52" spans="1:21" x14ac:dyDescent="0.25">
      <c r="A52" s="380"/>
      <c r="B52" s="429" t="str">
        <f t="shared" si="1"/>
        <v>Gen2.2 - 1.25 A/cm²</v>
      </c>
      <c r="C52" s="424">
        <v>60</v>
      </c>
      <c r="D52" s="424">
        <v>5</v>
      </c>
      <c r="E52" s="430" t="s">
        <v>371</v>
      </c>
      <c r="F52" s="424" t="s">
        <v>90</v>
      </c>
      <c r="G52" s="425" t="s">
        <v>92</v>
      </c>
      <c r="H52" s="426">
        <v>0.6</v>
      </c>
      <c r="I52" s="427">
        <v>1.25</v>
      </c>
      <c r="J52" s="427">
        <f t="shared" si="2"/>
        <v>1.25</v>
      </c>
      <c r="K52" s="428">
        <v>81.8</v>
      </c>
      <c r="L52" s="427">
        <v>1.5</v>
      </c>
      <c r="M52" s="427">
        <v>1.6</v>
      </c>
      <c r="N52" s="428">
        <f t="shared" si="0"/>
        <v>74.599999999999994</v>
      </c>
      <c r="O52" s="428">
        <v>40.189766502903638</v>
      </c>
      <c r="P52" s="428">
        <v>65.677667501296554</v>
      </c>
      <c r="Q52" s="428">
        <v>264.39999999999998</v>
      </c>
      <c r="R52" s="428">
        <v>224.2</v>
      </c>
      <c r="S52" s="424">
        <v>1000</v>
      </c>
      <c r="T52" s="443"/>
      <c r="U52" s="443"/>
    </row>
    <row r="53" spans="1:21" x14ac:dyDescent="0.25">
      <c r="A53" s="380"/>
      <c r="B53" s="429" t="str">
        <f t="shared" si="1"/>
        <v>Gen2.2 - 1.50 A/cm²</v>
      </c>
      <c r="C53" s="424">
        <v>60</v>
      </c>
      <c r="D53" s="424">
        <v>5</v>
      </c>
      <c r="E53" s="430" t="s">
        <v>371</v>
      </c>
      <c r="F53" s="424" t="s">
        <v>90</v>
      </c>
      <c r="G53" s="425" t="s">
        <v>92</v>
      </c>
      <c r="H53" s="426">
        <v>0.5</v>
      </c>
      <c r="I53" s="427">
        <v>1.5</v>
      </c>
      <c r="J53" s="427">
        <f t="shared" si="2"/>
        <v>1.5</v>
      </c>
      <c r="K53" s="428">
        <v>81.8</v>
      </c>
      <c r="L53" s="427">
        <v>1.5</v>
      </c>
      <c r="M53" s="427">
        <v>1.5</v>
      </c>
      <c r="N53" s="428">
        <f t="shared" si="0"/>
        <v>80.099999999999994</v>
      </c>
      <c r="O53" s="428">
        <v>39.542488462075589</v>
      </c>
      <c r="P53" s="428">
        <v>64.606710877848144</v>
      </c>
      <c r="Q53" s="428">
        <v>290.89999999999998</v>
      </c>
      <c r="R53" s="428">
        <v>250</v>
      </c>
      <c r="S53" s="424">
        <v>1000</v>
      </c>
      <c r="T53" s="443"/>
      <c r="U53" s="443"/>
    </row>
    <row r="54" spans="1:21" x14ac:dyDescent="0.25">
      <c r="A54" s="380" t="s">
        <v>21</v>
      </c>
      <c r="B54" s="429" t="str">
        <f t="shared" si="1"/>
        <v>Gen2.2 - 1.07 A/cm²</v>
      </c>
      <c r="C54" s="424">
        <v>60</v>
      </c>
      <c r="D54" s="424">
        <v>5</v>
      </c>
      <c r="E54" s="430" t="s">
        <v>371</v>
      </c>
      <c r="F54" s="424" t="s">
        <v>90</v>
      </c>
      <c r="G54" s="425" t="s">
        <v>92</v>
      </c>
      <c r="H54" s="426">
        <v>0.63</v>
      </c>
      <c r="I54" s="427">
        <v>1.07</v>
      </c>
      <c r="J54" s="427">
        <f t="shared" si="2"/>
        <v>1.07</v>
      </c>
      <c r="K54" s="428">
        <v>81.8</v>
      </c>
      <c r="L54" s="427">
        <v>1.5</v>
      </c>
      <c r="M54" s="427">
        <v>1.5</v>
      </c>
      <c r="N54" s="428">
        <f t="shared" si="0"/>
        <v>100</v>
      </c>
      <c r="O54" s="428">
        <v>20.705711168472281</v>
      </c>
      <c r="P54" s="428">
        <v>19.813277790150728</v>
      </c>
      <c r="Q54" s="428">
        <v>228.8</v>
      </c>
      <c r="R54" s="428">
        <v>187.5</v>
      </c>
      <c r="S54" s="424">
        <v>1000</v>
      </c>
      <c r="T54" s="443"/>
      <c r="U54" s="443"/>
    </row>
    <row r="55" spans="1:21" s="369" customFormat="1" x14ac:dyDescent="0.25">
      <c r="A55" s="417"/>
      <c r="E55" s="431"/>
      <c r="Q55" s="402"/>
      <c r="R55" s="402"/>
    </row>
    <row r="56" spans="1:21" x14ac:dyDescent="0.25">
      <c r="A56" s="360" t="s">
        <v>30</v>
      </c>
      <c r="B56" s="396" t="s">
        <v>31</v>
      </c>
      <c r="C56" s="397" t="s">
        <v>104</v>
      </c>
      <c r="N56" s="361" t="s">
        <v>379</v>
      </c>
      <c r="O56" s="361" t="s">
        <v>380</v>
      </c>
    </row>
    <row r="57" spans="1:21" x14ac:dyDescent="0.25">
      <c r="B57" s="398" t="s">
        <v>8</v>
      </c>
      <c r="C57" s="398" t="s">
        <v>96</v>
      </c>
      <c r="N57" s="361" t="s">
        <v>381</v>
      </c>
      <c r="O57" s="361" t="s">
        <v>382</v>
      </c>
    </row>
    <row r="58" spans="1:21" x14ac:dyDescent="0.25">
      <c r="B58" s="398" t="s">
        <v>45</v>
      </c>
      <c r="C58" s="398" t="s">
        <v>33</v>
      </c>
      <c r="N58" s="361" t="s">
        <v>383</v>
      </c>
      <c r="O58" s="361" t="s">
        <v>383</v>
      </c>
    </row>
    <row r="59" spans="1:21" ht="12" x14ac:dyDescent="0.2">
      <c r="A59" s="361"/>
      <c r="B59" s="398" t="s">
        <v>17</v>
      </c>
      <c r="C59" s="398">
        <v>1800</v>
      </c>
      <c r="F59" s="361"/>
      <c r="G59" s="361"/>
      <c r="H59" s="361"/>
      <c r="I59" s="361"/>
      <c r="J59" s="361"/>
      <c r="K59" s="361"/>
      <c r="L59" s="361"/>
      <c r="M59" s="361"/>
      <c r="N59" s="361">
        <v>48.7</v>
      </c>
      <c r="O59" s="361">
        <v>0.10000000000000142</v>
      </c>
      <c r="Q59" s="361"/>
      <c r="R59" s="361"/>
    </row>
    <row r="60" spans="1:21" ht="12" x14ac:dyDescent="0.2">
      <c r="A60" s="361"/>
      <c r="B60" s="398" t="s">
        <v>34</v>
      </c>
      <c r="C60" s="398" t="s">
        <v>97</v>
      </c>
      <c r="F60" s="361"/>
      <c r="G60" s="361"/>
      <c r="H60" s="361"/>
      <c r="I60" s="361"/>
      <c r="J60" s="361"/>
      <c r="K60" s="361"/>
      <c r="L60" s="361"/>
      <c r="M60" s="361"/>
      <c r="N60" s="361">
        <v>49.3</v>
      </c>
      <c r="O60" s="361">
        <v>0.19999999999999574</v>
      </c>
      <c r="Q60" s="361"/>
      <c r="R60" s="361"/>
    </row>
    <row r="61" spans="1:21" ht="12" x14ac:dyDescent="0.2">
      <c r="A61" s="361"/>
      <c r="B61" s="398" t="s">
        <v>98</v>
      </c>
      <c r="C61" s="399" t="s">
        <v>161</v>
      </c>
      <c r="F61" s="361"/>
      <c r="G61" s="361"/>
      <c r="H61" s="361"/>
      <c r="I61" s="361"/>
      <c r="J61" s="361"/>
      <c r="K61" s="361"/>
      <c r="L61" s="361"/>
      <c r="M61" s="361"/>
      <c r="N61" s="361">
        <v>49.1</v>
      </c>
      <c r="O61" s="361">
        <v>0.60000000000000142</v>
      </c>
      <c r="Q61" s="361"/>
      <c r="R61" s="361"/>
    </row>
    <row r="62" spans="1:21" ht="12" x14ac:dyDescent="0.2">
      <c r="A62" s="361"/>
      <c r="B62" s="398" t="s">
        <v>99</v>
      </c>
      <c r="C62" s="399" t="s">
        <v>144</v>
      </c>
      <c r="F62" s="361"/>
      <c r="G62" s="361"/>
      <c r="H62" s="361"/>
      <c r="I62" s="361"/>
      <c r="J62" s="361"/>
      <c r="K62" s="361"/>
      <c r="L62" s="361"/>
      <c r="M62" s="361"/>
      <c r="N62" s="361">
        <v>55.3</v>
      </c>
      <c r="O62" s="361">
        <v>1.1999999999999957</v>
      </c>
      <c r="Q62" s="361"/>
      <c r="R62" s="361"/>
    </row>
    <row r="63" spans="1:21" ht="12" x14ac:dyDescent="0.2">
      <c r="A63" s="361"/>
      <c r="B63" s="398" t="s">
        <v>100</v>
      </c>
      <c r="C63" s="398">
        <v>0.2</v>
      </c>
      <c r="F63" s="361"/>
      <c r="G63" s="361"/>
      <c r="H63" s="361"/>
      <c r="I63" s="361"/>
      <c r="J63" s="361"/>
      <c r="K63" s="361"/>
      <c r="L63" s="361"/>
      <c r="M63" s="361"/>
      <c r="N63" s="361">
        <v>60.2</v>
      </c>
      <c r="O63" s="361">
        <v>2.5</v>
      </c>
      <c r="Q63" s="361"/>
      <c r="R63" s="361"/>
    </row>
    <row r="64" spans="1:21" ht="12" x14ac:dyDescent="0.2">
      <c r="A64" s="361"/>
      <c r="B64" s="398" t="s">
        <v>101</v>
      </c>
      <c r="C64" s="398">
        <v>60</v>
      </c>
      <c r="F64" s="361"/>
      <c r="G64" s="361"/>
      <c r="H64" s="361"/>
      <c r="I64" s="361"/>
      <c r="J64" s="361"/>
      <c r="K64" s="361"/>
      <c r="L64" s="361"/>
      <c r="M64" s="361"/>
      <c r="N64" s="361">
        <v>67.3</v>
      </c>
      <c r="O64" s="361">
        <v>4.6999999999999957</v>
      </c>
      <c r="Q64" s="361"/>
      <c r="R64" s="361"/>
    </row>
    <row r="65" spans="1:18" ht="12" x14ac:dyDescent="0.2">
      <c r="A65" s="361"/>
      <c r="B65" s="398" t="s">
        <v>34</v>
      </c>
      <c r="C65" s="398" t="s">
        <v>97</v>
      </c>
      <c r="F65" s="361"/>
      <c r="G65" s="361"/>
      <c r="H65" s="361"/>
      <c r="I65" s="361"/>
      <c r="J65" s="361"/>
      <c r="K65" s="361"/>
      <c r="L65" s="361"/>
      <c r="M65" s="361"/>
      <c r="N65" s="361">
        <v>67.5</v>
      </c>
      <c r="O65" s="361">
        <v>6.3999999999999986</v>
      </c>
      <c r="Q65" s="361"/>
      <c r="R65" s="361"/>
    </row>
    <row r="66" spans="1:18" ht="12" x14ac:dyDescent="0.2">
      <c r="A66" s="361"/>
      <c r="B66" s="398" t="s">
        <v>98</v>
      </c>
      <c r="C66" s="399" t="s">
        <v>162</v>
      </c>
      <c r="F66" s="361"/>
      <c r="G66" s="361"/>
      <c r="H66" s="361"/>
      <c r="I66" s="361"/>
      <c r="J66" s="361"/>
      <c r="K66" s="361"/>
      <c r="L66" s="361"/>
      <c r="M66" s="361"/>
      <c r="N66" s="361">
        <v>70.900000000000006</v>
      </c>
      <c r="O66" s="361">
        <v>7.7000000000000028</v>
      </c>
      <c r="Q66" s="361"/>
      <c r="R66" s="361"/>
    </row>
    <row r="67" spans="1:18" ht="12" x14ac:dyDescent="0.2">
      <c r="A67" s="361"/>
      <c r="B67" s="398" t="s">
        <v>99</v>
      </c>
      <c r="C67" s="399" t="s">
        <v>159</v>
      </c>
      <c r="F67" s="361"/>
      <c r="G67" s="361"/>
      <c r="H67" s="361"/>
      <c r="I67" s="361"/>
      <c r="J67" s="361"/>
      <c r="K67" s="361"/>
      <c r="L67" s="361"/>
      <c r="M67" s="361"/>
      <c r="N67" s="361">
        <v>75.5</v>
      </c>
      <c r="O67" s="361">
        <v>8.7999999999999972</v>
      </c>
      <c r="Q67" s="361"/>
      <c r="R67" s="361"/>
    </row>
    <row r="68" spans="1:18" ht="12" x14ac:dyDescent="0.2">
      <c r="A68" s="361"/>
      <c r="B68" s="398" t="s">
        <v>100</v>
      </c>
      <c r="C68" s="398">
        <v>0.2</v>
      </c>
      <c r="F68" s="361"/>
      <c r="G68" s="361"/>
      <c r="H68" s="361"/>
      <c r="I68" s="361"/>
      <c r="J68" s="361"/>
      <c r="K68" s="361"/>
      <c r="L68" s="361"/>
      <c r="M68" s="361"/>
      <c r="N68" s="361">
        <v>79.400000000000006</v>
      </c>
      <c r="O68" s="361">
        <v>9.6000000000000085</v>
      </c>
      <c r="Q68" s="361"/>
      <c r="R68" s="361"/>
    </row>
    <row r="69" spans="1:18" ht="12" x14ac:dyDescent="0.2">
      <c r="A69" s="361"/>
      <c r="B69" s="398" t="s">
        <v>101</v>
      </c>
      <c r="C69" s="398">
        <v>60</v>
      </c>
      <c r="F69" s="361"/>
      <c r="G69" s="361"/>
      <c r="H69" s="361"/>
      <c r="I69" s="361"/>
      <c r="J69" s="361"/>
      <c r="K69" s="361"/>
      <c r="L69" s="361"/>
      <c r="M69" s="361"/>
      <c r="N69" s="361">
        <v>85</v>
      </c>
      <c r="O69" s="361">
        <v>9.9000000000000057</v>
      </c>
      <c r="Q69" s="361"/>
      <c r="R69" s="361"/>
    </row>
    <row r="70" spans="1:18" ht="12" x14ac:dyDescent="0.2">
      <c r="A70" s="361"/>
      <c r="B70" s="398" t="s">
        <v>34</v>
      </c>
      <c r="C70" s="398" t="s">
        <v>97</v>
      </c>
      <c r="F70" s="361"/>
      <c r="G70" s="361"/>
      <c r="H70" s="361"/>
      <c r="I70" s="361"/>
      <c r="J70" s="361"/>
      <c r="K70" s="361"/>
      <c r="L70" s="361"/>
      <c r="M70" s="361"/>
      <c r="N70" s="361">
        <v>105</v>
      </c>
      <c r="O70" s="361">
        <v>10</v>
      </c>
      <c r="Q70" s="361"/>
      <c r="R70" s="361"/>
    </row>
    <row r="71" spans="1:18" ht="12" customHeight="1" x14ac:dyDescent="0.2">
      <c r="A71" s="361"/>
      <c r="B71" s="398" t="s">
        <v>98</v>
      </c>
      <c r="C71" s="399" t="s">
        <v>163</v>
      </c>
      <c r="F71" s="361"/>
      <c r="G71" s="361"/>
      <c r="H71" s="361"/>
      <c r="I71" s="361"/>
      <c r="J71" s="361"/>
      <c r="K71" s="361"/>
      <c r="L71" s="361"/>
      <c r="M71" s="361"/>
      <c r="Q71" s="361"/>
      <c r="R71" s="361"/>
    </row>
    <row r="72" spans="1:18" ht="12" x14ac:dyDescent="0.2">
      <c r="A72" s="361"/>
      <c r="B72" s="398" t="s">
        <v>99</v>
      </c>
      <c r="C72" s="399" t="s">
        <v>160</v>
      </c>
      <c r="F72" s="361"/>
      <c r="G72" s="361"/>
      <c r="H72" s="361"/>
      <c r="I72" s="361"/>
      <c r="J72" s="361"/>
      <c r="K72" s="361"/>
      <c r="L72" s="361"/>
      <c r="M72" s="361"/>
      <c r="Q72" s="361"/>
      <c r="R72" s="361"/>
    </row>
    <row r="73" spans="1:18" ht="12" x14ac:dyDescent="0.2">
      <c r="A73" s="361"/>
      <c r="B73" s="398" t="s">
        <v>100</v>
      </c>
      <c r="C73" s="398">
        <v>0.2</v>
      </c>
      <c r="F73" s="361"/>
      <c r="G73" s="361"/>
      <c r="H73" s="361"/>
      <c r="I73" s="361"/>
      <c r="J73" s="361"/>
      <c r="K73" s="361"/>
      <c r="L73" s="361"/>
      <c r="M73" s="361"/>
      <c r="Q73" s="361"/>
      <c r="R73" s="361"/>
    </row>
    <row r="74" spans="1:18" ht="12" x14ac:dyDescent="0.2">
      <c r="A74" s="361"/>
      <c r="B74" s="398" t="s">
        <v>101</v>
      </c>
      <c r="C74" s="398">
        <v>60</v>
      </c>
      <c r="F74" s="361"/>
      <c r="G74" s="361"/>
      <c r="H74" s="361"/>
      <c r="I74" s="361"/>
      <c r="J74" s="361"/>
      <c r="K74" s="361"/>
      <c r="L74" s="361"/>
      <c r="M74" s="361"/>
      <c r="Q74" s="361"/>
      <c r="R74" s="361"/>
    </row>
    <row r="75" spans="1:18" ht="12" x14ac:dyDescent="0.2">
      <c r="A75" s="361"/>
      <c r="B75" s="398"/>
      <c r="C75" s="398"/>
      <c r="F75" s="361"/>
      <c r="G75" s="361"/>
      <c r="H75" s="361"/>
      <c r="I75" s="361"/>
      <c r="J75" s="361"/>
      <c r="K75" s="361"/>
      <c r="L75" s="361"/>
      <c r="M75" s="361"/>
      <c r="Q75" s="361"/>
      <c r="R75" s="361"/>
    </row>
    <row r="76" spans="1:18" ht="12" x14ac:dyDescent="0.2">
      <c r="A76" s="361"/>
      <c r="B76" s="398" t="s">
        <v>8</v>
      </c>
      <c r="C76" s="398" t="s">
        <v>9</v>
      </c>
      <c r="F76" s="361"/>
      <c r="G76" s="361"/>
      <c r="H76" s="361"/>
      <c r="I76" s="361"/>
      <c r="J76" s="361"/>
      <c r="K76" s="361"/>
      <c r="L76" s="361"/>
      <c r="M76" s="361"/>
      <c r="Q76" s="361"/>
      <c r="R76" s="361"/>
    </row>
    <row r="77" spans="1:18" ht="12" x14ac:dyDescent="0.2">
      <c r="A77" s="361"/>
      <c r="B77" s="398" t="s">
        <v>17</v>
      </c>
      <c r="C77" s="398">
        <v>2</v>
      </c>
      <c r="F77" s="361"/>
      <c r="G77" s="361"/>
      <c r="H77" s="361"/>
      <c r="I77" s="361"/>
      <c r="J77" s="361"/>
      <c r="K77" s="361"/>
      <c r="L77" s="361"/>
      <c r="M77" s="361"/>
      <c r="Q77" s="361"/>
      <c r="R77" s="361"/>
    </row>
    <row r="78" spans="1:18" ht="12" x14ac:dyDescent="0.2">
      <c r="A78" s="361" t="s">
        <v>21</v>
      </c>
      <c r="B78" s="398" t="s">
        <v>133</v>
      </c>
      <c r="C78" s="399" t="s">
        <v>121</v>
      </c>
      <c r="F78" s="361"/>
      <c r="G78" s="361"/>
      <c r="H78" s="361"/>
      <c r="I78" s="361"/>
      <c r="J78" s="361"/>
      <c r="K78" s="361"/>
      <c r="L78" s="361"/>
      <c r="M78" s="361"/>
      <c r="Q78" s="361"/>
      <c r="R78" s="361"/>
    </row>
    <row r="79" spans="1:18" ht="12" x14ac:dyDescent="0.2">
      <c r="A79" s="361"/>
      <c r="B79" s="398" t="s">
        <v>137</v>
      </c>
      <c r="C79" s="398">
        <v>0.01</v>
      </c>
      <c r="F79" s="361"/>
      <c r="G79" s="361"/>
      <c r="H79" s="361"/>
      <c r="I79" s="361"/>
      <c r="J79" s="361"/>
      <c r="K79" s="361"/>
      <c r="L79" s="361"/>
      <c r="M79" s="361"/>
      <c r="Q79" s="361"/>
      <c r="R79" s="361"/>
    </row>
    <row r="81" spans="1:18" x14ac:dyDescent="0.25">
      <c r="A81" s="417" t="s">
        <v>30</v>
      </c>
      <c r="B81" s="433" t="s">
        <v>31</v>
      </c>
      <c r="C81" s="434" t="s">
        <v>371</v>
      </c>
      <c r="D81" s="369"/>
      <c r="E81" s="369"/>
      <c r="F81" s="361"/>
      <c r="G81" s="361"/>
      <c r="H81" s="361"/>
      <c r="I81" s="361"/>
      <c r="J81" s="361"/>
      <c r="K81" s="361"/>
      <c r="L81" s="361"/>
      <c r="M81" s="361"/>
      <c r="Q81" s="361"/>
      <c r="R81" s="361"/>
    </row>
    <row r="82" spans="1:18" x14ac:dyDescent="0.25">
      <c r="A82" s="417"/>
      <c r="B82" s="434" t="s">
        <v>8</v>
      </c>
      <c r="C82" s="434" t="s">
        <v>9</v>
      </c>
      <c r="D82" s="432" t="s">
        <v>196</v>
      </c>
      <c r="E82" s="369"/>
      <c r="F82" s="361"/>
      <c r="G82" s="361"/>
      <c r="H82" s="361"/>
      <c r="I82" s="361"/>
      <c r="J82" s="361"/>
      <c r="K82" s="361"/>
      <c r="L82" s="361"/>
      <c r="M82" s="361"/>
      <c r="Q82" s="361"/>
      <c r="R82" s="361"/>
    </row>
    <row r="83" spans="1:18" x14ac:dyDescent="0.25">
      <c r="A83" s="417"/>
      <c r="B83" s="434" t="s">
        <v>17</v>
      </c>
      <c r="C83" s="434">
        <v>1</v>
      </c>
      <c r="D83" s="432"/>
      <c r="E83" s="369"/>
      <c r="F83" s="361"/>
      <c r="G83" s="361"/>
      <c r="H83" s="361"/>
      <c r="I83" s="361"/>
      <c r="J83" s="361"/>
      <c r="K83" s="361"/>
      <c r="L83" s="361"/>
      <c r="M83" s="361"/>
      <c r="Q83" s="361"/>
      <c r="R83" s="361"/>
    </row>
    <row r="84" spans="1:18" x14ac:dyDescent="0.25">
      <c r="A84" s="417"/>
      <c r="B84" s="434" t="s">
        <v>133</v>
      </c>
      <c r="C84" s="436" t="s">
        <v>121</v>
      </c>
      <c r="D84" s="369"/>
      <c r="E84" s="369"/>
      <c r="F84" s="361"/>
      <c r="G84" s="361"/>
      <c r="H84" s="361"/>
      <c r="I84" s="361"/>
      <c r="J84" s="361"/>
      <c r="K84" s="361"/>
      <c r="L84" s="361"/>
      <c r="M84" s="361"/>
      <c r="Q84" s="361"/>
      <c r="R84" s="361"/>
    </row>
    <row r="85" spans="1:18" x14ac:dyDescent="0.25">
      <c r="A85" s="417"/>
      <c r="B85" s="434" t="s">
        <v>377</v>
      </c>
      <c r="C85" s="436" t="s">
        <v>378</v>
      </c>
      <c r="D85" s="369"/>
      <c r="E85" s="369"/>
      <c r="F85" s="361"/>
      <c r="G85" s="361"/>
      <c r="H85" s="361"/>
      <c r="I85" s="361"/>
      <c r="J85" s="361"/>
      <c r="K85" s="361"/>
      <c r="L85" s="361"/>
      <c r="M85" s="361"/>
      <c r="Q85" s="361"/>
      <c r="R85" s="361"/>
    </row>
    <row r="86" spans="1:18" x14ac:dyDescent="0.25">
      <c r="A86" s="417"/>
      <c r="B86" s="434"/>
      <c r="C86" s="434"/>
      <c r="D86" s="432"/>
      <c r="E86" s="369"/>
      <c r="F86" s="361"/>
      <c r="G86" s="361"/>
      <c r="H86" s="361"/>
      <c r="I86" s="361"/>
      <c r="J86" s="361"/>
      <c r="K86" s="361"/>
      <c r="L86" s="361"/>
      <c r="M86" s="361"/>
      <c r="Q86" s="361"/>
      <c r="R86" s="361"/>
    </row>
    <row r="87" spans="1:18" x14ac:dyDescent="0.25">
      <c r="A87" s="417"/>
      <c r="B87" s="434" t="s">
        <v>8</v>
      </c>
      <c r="C87" s="434" t="s">
        <v>226</v>
      </c>
      <c r="D87" s="432" t="s">
        <v>196</v>
      </c>
      <c r="E87" s="369"/>
      <c r="F87" s="361"/>
      <c r="G87" s="361"/>
      <c r="H87" s="361"/>
      <c r="I87" s="361"/>
      <c r="J87" s="361"/>
      <c r="K87" s="361"/>
      <c r="L87" s="361"/>
      <c r="M87" s="361"/>
      <c r="Q87" s="361"/>
      <c r="R87" s="361"/>
    </row>
    <row r="88" spans="1:18" x14ac:dyDescent="0.25">
      <c r="A88" s="417"/>
      <c r="B88" s="434" t="s">
        <v>17</v>
      </c>
      <c r="C88" s="434">
        <v>5</v>
      </c>
      <c r="D88" s="432"/>
      <c r="E88" s="369"/>
      <c r="F88" s="361"/>
      <c r="G88" s="361"/>
      <c r="H88" s="361"/>
      <c r="I88" s="361"/>
      <c r="J88" s="361"/>
      <c r="K88" s="361"/>
      <c r="L88" s="361"/>
      <c r="M88" s="361"/>
      <c r="Q88" s="361"/>
      <c r="R88" s="361"/>
    </row>
    <row r="89" spans="1:18" x14ac:dyDescent="0.25">
      <c r="A89" s="417"/>
      <c r="B89" s="434" t="s">
        <v>137</v>
      </c>
      <c r="C89" s="434" t="s">
        <v>390</v>
      </c>
      <c r="D89" s="369"/>
      <c r="E89" s="369"/>
      <c r="F89" s="361"/>
      <c r="G89" s="361"/>
      <c r="H89" s="361"/>
      <c r="I89" s="361"/>
      <c r="J89" s="361"/>
      <c r="K89" s="361"/>
      <c r="L89" s="361"/>
      <c r="M89" s="361"/>
      <c r="Q89" s="361"/>
      <c r="R89" s="361"/>
    </row>
    <row r="90" spans="1:18" x14ac:dyDescent="0.25">
      <c r="A90" s="417"/>
      <c r="B90" s="434"/>
      <c r="C90" s="434"/>
      <c r="D90" s="432"/>
      <c r="E90" s="369"/>
      <c r="F90" s="361"/>
      <c r="G90" s="361"/>
      <c r="H90" s="361"/>
      <c r="I90" s="361"/>
      <c r="J90" s="361"/>
      <c r="K90" s="361"/>
      <c r="L90" s="361"/>
      <c r="M90" s="361"/>
      <c r="Q90" s="361"/>
      <c r="R90" s="361"/>
    </row>
    <row r="91" spans="1:18" x14ac:dyDescent="0.25">
      <c r="A91" s="417"/>
      <c r="B91" s="434" t="s">
        <v>8</v>
      </c>
      <c r="C91" s="434" t="s">
        <v>9</v>
      </c>
      <c r="D91" s="432" t="s">
        <v>196</v>
      </c>
      <c r="E91" s="369"/>
      <c r="F91" s="361"/>
      <c r="G91" s="361"/>
      <c r="H91" s="361"/>
      <c r="I91" s="361"/>
      <c r="J91" s="361"/>
      <c r="K91" s="361"/>
      <c r="L91" s="361"/>
      <c r="M91" s="361"/>
      <c r="Q91" s="361"/>
      <c r="R91" s="361"/>
    </row>
    <row r="92" spans="1:18" x14ac:dyDescent="0.25">
      <c r="A92" s="417"/>
      <c r="B92" s="434" t="s">
        <v>17</v>
      </c>
      <c r="C92" s="434">
        <v>0</v>
      </c>
      <c r="D92" s="432"/>
      <c r="E92" s="369"/>
      <c r="F92" s="361"/>
      <c r="G92" s="361"/>
      <c r="H92" s="361"/>
      <c r="I92" s="361"/>
      <c r="J92" s="361"/>
      <c r="K92" s="361"/>
      <c r="L92" s="361"/>
      <c r="M92" s="361"/>
      <c r="Q92" s="361"/>
      <c r="R92" s="361"/>
    </row>
    <row r="93" spans="1:18" x14ac:dyDescent="0.25">
      <c r="A93" s="417"/>
      <c r="B93" s="434" t="s">
        <v>166</v>
      </c>
      <c r="C93" s="434" t="s">
        <v>384</v>
      </c>
      <c r="D93" s="369"/>
      <c r="E93" s="369"/>
      <c r="F93" s="361"/>
      <c r="G93" s="361"/>
      <c r="H93" s="361"/>
      <c r="I93" s="361"/>
      <c r="J93" s="361"/>
      <c r="K93" s="361"/>
      <c r="L93" s="361"/>
      <c r="M93" s="361"/>
      <c r="Q93" s="361"/>
      <c r="R93" s="361"/>
    </row>
    <row r="94" spans="1:18" x14ac:dyDescent="0.25">
      <c r="A94" s="417"/>
      <c r="B94" s="434"/>
      <c r="C94" s="434"/>
      <c r="D94" s="432"/>
      <c r="E94" s="369"/>
      <c r="F94" s="361"/>
      <c r="G94" s="361"/>
      <c r="H94" s="361"/>
      <c r="I94" s="361"/>
      <c r="J94" s="361"/>
      <c r="K94" s="361"/>
      <c r="L94" s="361"/>
      <c r="M94" s="361"/>
      <c r="Q94" s="361"/>
      <c r="R94" s="361"/>
    </row>
    <row r="95" spans="1:18" x14ac:dyDescent="0.25">
      <c r="A95" s="417"/>
      <c r="B95" s="434" t="s">
        <v>8</v>
      </c>
      <c r="C95" s="434" t="s">
        <v>32</v>
      </c>
      <c r="D95" s="369"/>
      <c r="E95" s="369"/>
      <c r="F95" s="361"/>
      <c r="G95" s="361"/>
      <c r="H95" s="361"/>
      <c r="I95" s="361"/>
      <c r="J95" s="361"/>
      <c r="K95" s="361"/>
      <c r="L95" s="361"/>
      <c r="M95" s="361"/>
      <c r="Q95" s="361"/>
      <c r="R95" s="361"/>
    </row>
    <row r="96" spans="1:18" x14ac:dyDescent="0.25">
      <c r="A96" s="417"/>
      <c r="B96" s="434" t="s">
        <v>45</v>
      </c>
      <c r="C96" s="434" t="s">
        <v>46</v>
      </c>
      <c r="D96" s="369"/>
      <c r="E96" s="369"/>
      <c r="F96" s="361"/>
      <c r="G96" s="361"/>
      <c r="H96" s="361"/>
      <c r="I96" s="361"/>
      <c r="J96" s="361"/>
      <c r="K96" s="361"/>
      <c r="L96" s="361"/>
      <c r="M96" s="361"/>
      <c r="Q96" s="361"/>
      <c r="R96" s="361"/>
    </row>
    <row r="97" spans="1:18" x14ac:dyDescent="0.25">
      <c r="A97" s="417"/>
      <c r="B97" s="434" t="s">
        <v>17</v>
      </c>
      <c r="C97" s="434">
        <v>600</v>
      </c>
      <c r="D97" s="432"/>
      <c r="E97" s="369"/>
      <c r="F97" s="361"/>
      <c r="G97" s="361"/>
      <c r="H97" s="361"/>
      <c r="I97" s="361"/>
      <c r="J97" s="361"/>
      <c r="K97" s="361"/>
      <c r="L97" s="361"/>
      <c r="M97" s="361"/>
      <c r="Q97" s="361"/>
      <c r="R97" s="361"/>
    </row>
    <row r="98" spans="1:18" x14ac:dyDescent="0.25">
      <c r="A98" s="417"/>
      <c r="B98" s="434" t="s">
        <v>34</v>
      </c>
      <c r="C98" s="434" t="s">
        <v>41</v>
      </c>
      <c r="D98" s="369"/>
      <c r="E98" s="369"/>
      <c r="F98" s="361"/>
      <c r="G98" s="361"/>
      <c r="H98" s="361"/>
      <c r="I98" s="361"/>
      <c r="J98" s="361"/>
      <c r="K98" s="361"/>
      <c r="L98" s="361"/>
      <c r="M98" s="361"/>
      <c r="Q98" s="361"/>
      <c r="R98" s="361"/>
    </row>
    <row r="99" spans="1:18" x14ac:dyDescent="0.25">
      <c r="A99" s="417"/>
      <c r="B99" s="434" t="s">
        <v>164</v>
      </c>
      <c r="C99" s="435">
        <v>0.2</v>
      </c>
      <c r="D99" s="369"/>
      <c r="E99" s="369"/>
      <c r="F99" s="361"/>
      <c r="G99" s="361"/>
      <c r="H99" s="361"/>
      <c r="I99" s="361"/>
      <c r="J99" s="361"/>
      <c r="K99" s="361"/>
      <c r="L99" s="361"/>
      <c r="M99" s="361"/>
      <c r="Q99" s="361"/>
      <c r="R99" s="361"/>
    </row>
    <row r="100" spans="1:18" x14ac:dyDescent="0.25">
      <c r="A100" s="417"/>
      <c r="B100" s="434" t="s">
        <v>34</v>
      </c>
      <c r="C100" s="434" t="s">
        <v>42</v>
      </c>
      <c r="D100" s="369"/>
      <c r="E100" s="369"/>
      <c r="F100" s="361"/>
      <c r="G100" s="361"/>
      <c r="H100" s="361"/>
      <c r="I100" s="361"/>
      <c r="J100" s="361"/>
      <c r="K100" s="361"/>
      <c r="L100" s="361"/>
      <c r="M100" s="361"/>
      <c r="Q100" s="361"/>
      <c r="R100" s="361"/>
    </row>
    <row r="101" spans="1:18" x14ac:dyDescent="0.25">
      <c r="A101" s="417"/>
      <c r="B101" s="434" t="s">
        <v>135</v>
      </c>
      <c r="C101" s="436" t="s">
        <v>14</v>
      </c>
      <c r="D101" s="369"/>
      <c r="E101" s="369"/>
      <c r="F101" s="361"/>
      <c r="G101" s="361"/>
      <c r="H101" s="361"/>
      <c r="I101" s="361"/>
      <c r="J101" s="361"/>
      <c r="K101" s="361"/>
      <c r="L101" s="361"/>
      <c r="M101" s="361"/>
      <c r="Q101" s="361"/>
      <c r="R101" s="361"/>
    </row>
    <row r="102" spans="1:18" x14ac:dyDescent="0.25">
      <c r="A102" s="417"/>
      <c r="B102" s="433"/>
      <c r="C102" s="434"/>
      <c r="D102" s="369"/>
      <c r="E102" s="369"/>
      <c r="F102" s="361"/>
      <c r="G102" s="361"/>
      <c r="H102" s="361"/>
      <c r="I102" s="361"/>
      <c r="J102" s="361"/>
      <c r="K102" s="361"/>
      <c r="L102" s="361"/>
      <c r="M102" s="361"/>
      <c r="Q102" s="361"/>
      <c r="R102" s="361"/>
    </row>
    <row r="103" spans="1:18" x14ac:dyDescent="0.25">
      <c r="A103" s="417"/>
      <c r="B103" s="434" t="s">
        <v>8</v>
      </c>
      <c r="C103" s="434" t="s">
        <v>9</v>
      </c>
      <c r="D103" s="432" t="s">
        <v>196</v>
      </c>
      <c r="E103" s="369"/>
      <c r="F103" s="361"/>
      <c r="G103" s="361"/>
      <c r="H103" s="361"/>
      <c r="I103" s="361"/>
      <c r="J103" s="361"/>
      <c r="K103" s="361"/>
      <c r="L103" s="361"/>
      <c r="M103" s="361"/>
      <c r="Q103" s="361"/>
      <c r="R103" s="361"/>
    </row>
    <row r="104" spans="1:18" x14ac:dyDescent="0.25">
      <c r="A104" s="417"/>
      <c r="B104" s="434" t="s">
        <v>17</v>
      </c>
      <c r="C104" s="434">
        <v>2</v>
      </c>
      <c r="D104" s="432"/>
      <c r="E104" s="369"/>
      <c r="F104" s="361"/>
      <c r="G104" s="361"/>
      <c r="H104" s="361"/>
      <c r="I104" s="361"/>
      <c r="J104" s="361"/>
      <c r="K104" s="361"/>
      <c r="L104" s="361"/>
      <c r="M104" s="361"/>
      <c r="Q104" s="361"/>
      <c r="R104" s="361"/>
    </row>
    <row r="105" spans="1:18" x14ac:dyDescent="0.25">
      <c r="A105" s="417"/>
      <c r="B105" s="434" t="s">
        <v>190</v>
      </c>
      <c r="C105" s="434">
        <v>1</v>
      </c>
      <c r="D105" s="432"/>
      <c r="E105" s="369"/>
      <c r="F105" s="361"/>
      <c r="G105" s="361"/>
      <c r="H105" s="361"/>
      <c r="I105" s="361"/>
      <c r="J105" s="361"/>
      <c r="K105" s="361"/>
      <c r="L105" s="361"/>
      <c r="M105" s="361"/>
      <c r="Q105" s="361"/>
      <c r="R105" s="361"/>
    </row>
    <row r="106" spans="1:18" x14ac:dyDescent="0.25">
      <c r="A106" s="417"/>
      <c r="B106" s="434" t="s">
        <v>25</v>
      </c>
      <c r="C106" s="434">
        <v>1</v>
      </c>
      <c r="D106" s="369"/>
      <c r="E106" s="369"/>
      <c r="F106" s="361"/>
      <c r="G106" s="361"/>
      <c r="H106" s="361"/>
      <c r="I106" s="361"/>
      <c r="J106" s="361"/>
      <c r="K106" s="361"/>
      <c r="L106" s="361"/>
      <c r="M106" s="361"/>
      <c r="Q106" s="361"/>
      <c r="R106" s="361"/>
    </row>
    <row r="107" spans="1:18" x14ac:dyDescent="0.25">
      <c r="A107" s="417"/>
      <c r="B107" s="434" t="s">
        <v>195</v>
      </c>
      <c r="C107" s="434">
        <v>1</v>
      </c>
      <c r="D107" s="369"/>
      <c r="E107" s="369"/>
      <c r="F107" s="361"/>
      <c r="G107" s="361"/>
      <c r="H107" s="361"/>
      <c r="I107" s="361"/>
      <c r="J107" s="361"/>
      <c r="K107" s="361"/>
      <c r="L107" s="361"/>
      <c r="M107" s="361"/>
      <c r="Q107" s="361"/>
      <c r="R107" s="361"/>
    </row>
    <row r="108" spans="1:18" x14ac:dyDescent="0.25">
      <c r="A108" s="417"/>
      <c r="B108" s="434"/>
      <c r="C108" s="434"/>
      <c r="D108" s="369"/>
      <c r="E108" s="369"/>
      <c r="F108" s="361"/>
      <c r="G108" s="361"/>
      <c r="H108" s="361"/>
      <c r="I108" s="361"/>
      <c r="J108" s="361"/>
      <c r="K108" s="361"/>
      <c r="L108" s="361"/>
      <c r="M108" s="361"/>
      <c r="Q108" s="361"/>
      <c r="R108" s="361"/>
    </row>
    <row r="109" spans="1:18" x14ac:dyDescent="0.25">
      <c r="A109" s="417"/>
      <c r="B109" s="434" t="s">
        <v>8</v>
      </c>
      <c r="C109" s="434" t="s">
        <v>32</v>
      </c>
      <c r="D109" s="432" t="str">
        <f>"If " &amp; C111 &amp; " seconds pass, OR Voltage &lt;" &amp; C113 &amp; " Volts, OR LB_ENBL is OFF go to next 'Step Type'"</f>
        <v>If 60 seconds pass, OR Voltage &lt;0.2 Volts, OR LB_ENBL is OFF go to next 'Step Type'</v>
      </c>
      <c r="E109" s="369"/>
      <c r="F109" s="361"/>
      <c r="G109" s="361"/>
      <c r="H109" s="361"/>
      <c r="I109" s="361"/>
      <c r="J109" s="361"/>
      <c r="K109" s="361"/>
      <c r="L109" s="361"/>
      <c r="M109" s="361"/>
      <c r="Q109" s="361"/>
      <c r="R109" s="361"/>
    </row>
    <row r="110" spans="1:18" x14ac:dyDescent="0.25">
      <c r="A110" s="417"/>
      <c r="B110" s="434" t="s">
        <v>45</v>
      </c>
      <c r="C110" s="434" t="s">
        <v>46</v>
      </c>
      <c r="D110" s="369"/>
      <c r="E110" s="369"/>
      <c r="F110" s="361"/>
      <c r="G110" s="361"/>
      <c r="H110" s="361"/>
      <c r="I110" s="361"/>
      <c r="J110" s="361"/>
      <c r="K110" s="361"/>
      <c r="L110" s="361"/>
      <c r="M110" s="361"/>
      <c r="Q110" s="361"/>
      <c r="R110" s="361"/>
    </row>
    <row r="111" spans="1:18" x14ac:dyDescent="0.25">
      <c r="A111" s="417"/>
      <c r="B111" s="434" t="s">
        <v>17</v>
      </c>
      <c r="C111" s="434">
        <v>60</v>
      </c>
      <c r="D111" s="369"/>
      <c r="E111" s="369"/>
      <c r="F111" s="361"/>
      <c r="G111" s="361"/>
      <c r="H111" s="361"/>
      <c r="I111" s="361"/>
      <c r="J111" s="361"/>
      <c r="K111" s="361"/>
      <c r="L111" s="361"/>
      <c r="M111" s="361"/>
      <c r="Q111" s="361"/>
      <c r="R111" s="361"/>
    </row>
    <row r="112" spans="1:18" x14ac:dyDescent="0.25">
      <c r="A112" s="417"/>
      <c r="B112" s="434" t="s">
        <v>34</v>
      </c>
      <c r="C112" s="434" t="s">
        <v>41</v>
      </c>
      <c r="D112" s="369"/>
      <c r="E112" s="369"/>
      <c r="F112" s="361"/>
      <c r="G112" s="361"/>
      <c r="H112" s="361"/>
      <c r="I112" s="361"/>
      <c r="J112" s="361"/>
      <c r="K112" s="361"/>
      <c r="L112" s="361"/>
      <c r="M112" s="361"/>
      <c r="Q112" s="361"/>
      <c r="R112" s="361"/>
    </row>
    <row r="113" spans="1:18" x14ac:dyDescent="0.25">
      <c r="A113" s="417"/>
      <c r="B113" s="434" t="s">
        <v>164</v>
      </c>
      <c r="C113" s="435">
        <v>0.2</v>
      </c>
      <c r="D113" s="432" t="s">
        <v>198</v>
      </c>
      <c r="E113" s="369"/>
      <c r="F113" s="361"/>
      <c r="G113" s="361"/>
      <c r="H113" s="361"/>
      <c r="I113" s="361"/>
      <c r="J113" s="361"/>
      <c r="K113" s="361"/>
      <c r="L113" s="361"/>
      <c r="M113" s="361"/>
      <c r="Q113" s="361"/>
      <c r="R113" s="361"/>
    </row>
    <row r="114" spans="1:18" x14ac:dyDescent="0.25">
      <c r="A114" s="417"/>
      <c r="B114" s="434" t="s">
        <v>34</v>
      </c>
      <c r="C114" s="434" t="s">
        <v>42</v>
      </c>
      <c r="D114" s="369"/>
      <c r="E114" s="369"/>
      <c r="F114" s="361"/>
      <c r="G114" s="361"/>
      <c r="H114" s="361"/>
      <c r="I114" s="361"/>
      <c r="J114" s="361"/>
      <c r="K114" s="361"/>
      <c r="L114" s="361"/>
      <c r="M114" s="361"/>
      <c r="Q114" s="361"/>
      <c r="R114" s="361"/>
    </row>
    <row r="115" spans="1:18" x14ac:dyDescent="0.25">
      <c r="A115" s="417"/>
      <c r="B115" s="434" t="s">
        <v>135</v>
      </c>
      <c r="C115" s="436" t="s">
        <v>14</v>
      </c>
      <c r="D115" s="369"/>
      <c r="E115" s="369"/>
      <c r="F115" s="361"/>
      <c r="G115" s="361"/>
      <c r="H115" s="361"/>
      <c r="I115" s="361"/>
      <c r="J115" s="361"/>
      <c r="K115" s="361"/>
      <c r="L115" s="361"/>
      <c r="M115" s="361"/>
      <c r="Q115" s="361"/>
      <c r="R115" s="361"/>
    </row>
    <row r="116" spans="1:18" x14ac:dyDescent="0.25">
      <c r="A116" s="417"/>
      <c r="B116" s="434"/>
      <c r="C116" s="434"/>
      <c r="D116" s="369"/>
      <c r="E116" s="369"/>
      <c r="F116" s="361"/>
      <c r="G116" s="361"/>
      <c r="H116" s="361"/>
      <c r="I116" s="361"/>
      <c r="J116" s="361"/>
      <c r="K116" s="361"/>
      <c r="L116" s="361"/>
      <c r="M116" s="361"/>
      <c r="Q116" s="361"/>
      <c r="R116" s="361"/>
    </row>
    <row r="117" spans="1:18" x14ac:dyDescent="0.25">
      <c r="A117" s="417"/>
      <c r="B117" s="434" t="s">
        <v>8</v>
      </c>
      <c r="C117" s="434" t="s">
        <v>9</v>
      </c>
      <c r="D117" s="369"/>
      <c r="E117" s="369"/>
      <c r="F117" s="361"/>
      <c r="G117" s="361"/>
      <c r="H117" s="361"/>
      <c r="I117" s="361"/>
      <c r="J117" s="361"/>
      <c r="K117" s="361"/>
      <c r="L117" s="361"/>
      <c r="M117" s="361"/>
      <c r="Q117" s="361"/>
      <c r="R117" s="361"/>
    </row>
    <row r="118" spans="1:18" x14ac:dyDescent="0.25">
      <c r="A118" s="417"/>
      <c r="B118" s="434" t="s">
        <v>17</v>
      </c>
      <c r="C118" s="434">
        <v>2</v>
      </c>
      <c r="D118" s="369"/>
      <c r="E118" s="369"/>
      <c r="F118" s="361"/>
      <c r="G118" s="361"/>
      <c r="H118" s="361"/>
      <c r="I118" s="361"/>
      <c r="J118" s="361"/>
      <c r="K118" s="361"/>
      <c r="L118" s="361"/>
      <c r="M118" s="361"/>
      <c r="Q118" s="361"/>
      <c r="R118" s="361"/>
    </row>
    <row r="119" spans="1:18" x14ac:dyDescent="0.25">
      <c r="A119" s="417"/>
      <c r="B119" s="434" t="s">
        <v>194</v>
      </c>
      <c r="C119" s="436" t="s">
        <v>92</v>
      </c>
      <c r="D119" s="432" t="s">
        <v>197</v>
      </c>
      <c r="E119" s="369"/>
      <c r="F119" s="361"/>
      <c r="G119" s="361"/>
      <c r="H119" s="361"/>
      <c r="I119" s="361"/>
      <c r="J119" s="361"/>
      <c r="K119" s="361"/>
      <c r="L119" s="361"/>
      <c r="M119" s="361"/>
      <c r="Q119" s="361"/>
      <c r="R119" s="361"/>
    </row>
    <row r="120" spans="1:18" x14ac:dyDescent="0.25">
      <c r="B120" s="437"/>
      <c r="C120" s="438"/>
      <c r="F120" s="361"/>
      <c r="G120" s="361"/>
      <c r="H120" s="361"/>
      <c r="I120" s="361"/>
      <c r="J120" s="361"/>
      <c r="K120" s="361"/>
      <c r="L120" s="361"/>
      <c r="M120" s="361"/>
    </row>
    <row r="121" spans="1:18" ht="12" x14ac:dyDescent="0.2">
      <c r="A121" s="361"/>
      <c r="B121" s="438" t="s">
        <v>8</v>
      </c>
      <c r="C121" s="439" t="s">
        <v>9</v>
      </c>
      <c r="E121" s="361" t="s">
        <v>372</v>
      </c>
      <c r="F121" s="361"/>
      <c r="G121" s="361"/>
      <c r="H121" s="361"/>
      <c r="I121" s="361"/>
      <c r="J121" s="361"/>
      <c r="K121" s="361"/>
      <c r="L121" s="361"/>
      <c r="M121" s="361"/>
    </row>
    <row r="122" spans="1:18" ht="12" x14ac:dyDescent="0.2">
      <c r="A122" s="361"/>
      <c r="B122" s="438" t="s">
        <v>17</v>
      </c>
      <c r="C122" s="439">
        <v>2</v>
      </c>
      <c r="E122" s="361" t="s">
        <v>373</v>
      </c>
      <c r="F122" s="361"/>
      <c r="G122" s="361"/>
      <c r="H122" s="361"/>
      <c r="I122" s="361"/>
      <c r="J122" s="361"/>
      <c r="K122" s="361"/>
      <c r="L122" s="361"/>
      <c r="M122" s="361"/>
    </row>
    <row r="123" spans="1:18" x14ac:dyDescent="0.25">
      <c r="A123" s="417"/>
      <c r="B123" s="434" t="s">
        <v>190</v>
      </c>
      <c r="C123" s="434">
        <v>0.25</v>
      </c>
      <c r="D123" s="432"/>
      <c r="E123" s="361" t="s">
        <v>374</v>
      </c>
      <c r="F123" s="361"/>
      <c r="G123" s="361"/>
      <c r="H123" s="361"/>
      <c r="I123" s="361"/>
      <c r="J123" s="361"/>
      <c r="K123" s="361"/>
      <c r="L123" s="361"/>
      <c r="M123" s="361"/>
      <c r="Q123" s="361"/>
      <c r="R123" s="361"/>
    </row>
    <row r="124" spans="1:18" x14ac:dyDescent="0.25">
      <c r="B124" s="440" t="s">
        <v>25</v>
      </c>
      <c r="C124" s="439">
        <v>1</v>
      </c>
      <c r="E124" s="361" t="s">
        <v>375</v>
      </c>
      <c r="F124" s="361"/>
      <c r="G124" s="361"/>
      <c r="H124" s="361"/>
      <c r="I124" s="361"/>
      <c r="J124" s="361"/>
      <c r="K124" s="361"/>
      <c r="L124" s="361"/>
      <c r="M124" s="361"/>
    </row>
    <row r="125" spans="1:18" ht="12" x14ac:dyDescent="0.2">
      <c r="A125" s="361"/>
      <c r="B125" s="440" t="s">
        <v>195</v>
      </c>
      <c r="C125" s="439">
        <v>1</v>
      </c>
      <c r="F125" s="361"/>
      <c r="G125" s="361"/>
      <c r="H125" s="361"/>
      <c r="I125" s="361"/>
      <c r="J125" s="361"/>
      <c r="K125" s="361"/>
      <c r="L125" s="361"/>
      <c r="M125" s="361"/>
    </row>
    <row r="126" spans="1:18" ht="12" x14ac:dyDescent="0.2">
      <c r="A126" s="361"/>
      <c r="B126" s="438" t="s">
        <v>102</v>
      </c>
      <c r="C126" s="438">
        <v>3000</v>
      </c>
      <c r="F126" s="361"/>
      <c r="G126" s="361"/>
      <c r="H126" s="361"/>
      <c r="I126" s="361"/>
      <c r="J126" s="361"/>
      <c r="K126" s="361"/>
      <c r="L126" s="361"/>
      <c r="M126" s="361"/>
    </row>
    <row r="127" spans="1:18" ht="12" x14ac:dyDescent="0.2">
      <c r="A127" s="361"/>
      <c r="B127" s="438" t="s">
        <v>166</v>
      </c>
      <c r="C127" s="438" t="s">
        <v>385</v>
      </c>
      <c r="F127" s="361"/>
      <c r="G127" s="361"/>
      <c r="H127" s="361"/>
      <c r="I127" s="361"/>
      <c r="J127" s="361"/>
      <c r="K127" s="361"/>
      <c r="L127" s="361"/>
      <c r="M127" s="361"/>
    </row>
    <row r="128" spans="1:18" ht="12" x14ac:dyDescent="0.2">
      <c r="A128" s="361"/>
      <c r="B128" s="438"/>
      <c r="C128" s="438"/>
      <c r="F128" s="361"/>
      <c r="G128" s="361"/>
      <c r="H128" s="361"/>
      <c r="I128" s="361"/>
      <c r="J128" s="361"/>
      <c r="K128" s="361"/>
      <c r="L128" s="361"/>
      <c r="M128" s="361"/>
    </row>
    <row r="129" spans="1:18" x14ac:dyDescent="0.25">
      <c r="A129" s="417"/>
      <c r="B129" s="440" t="s">
        <v>8</v>
      </c>
      <c r="C129" s="439" t="s">
        <v>32</v>
      </c>
      <c r="D129" s="432" t="str">
        <f>"If " &amp; C131 &amp; " seconds pass, OR Voltage &lt;" &amp; C133 &amp; " Volts, OR LB_ENBL is OFF go to next 'Step Type'"</f>
        <v>If 15 seconds pass, OR Voltage &lt;0.2 Volts, OR LB_ENBL is OFF go to next 'Step Type'</v>
      </c>
      <c r="E129" s="369"/>
      <c r="F129" s="361"/>
      <c r="G129" s="361"/>
      <c r="H129" s="361"/>
      <c r="I129" s="361"/>
      <c r="J129" s="361"/>
      <c r="K129" s="361"/>
      <c r="L129" s="361"/>
      <c r="M129" s="361"/>
      <c r="Q129" s="361"/>
      <c r="R129" s="361"/>
    </row>
    <row r="130" spans="1:18" x14ac:dyDescent="0.25">
      <c r="A130" s="417"/>
      <c r="B130" s="440" t="s">
        <v>45</v>
      </c>
      <c r="C130" s="439" t="s">
        <v>46</v>
      </c>
      <c r="D130" s="369"/>
      <c r="E130" s="369"/>
      <c r="F130" s="361"/>
      <c r="G130" s="361"/>
      <c r="H130" s="361"/>
      <c r="I130" s="361"/>
      <c r="J130" s="361"/>
      <c r="K130" s="361"/>
      <c r="L130" s="361"/>
      <c r="M130" s="361"/>
      <c r="Q130" s="361"/>
      <c r="R130" s="361"/>
    </row>
    <row r="131" spans="1:18" x14ac:dyDescent="0.25">
      <c r="A131" s="417"/>
      <c r="B131" s="440" t="s">
        <v>17</v>
      </c>
      <c r="C131" s="439">
        <v>15</v>
      </c>
      <c r="D131" s="369"/>
      <c r="E131" s="369"/>
      <c r="F131" s="361"/>
      <c r="G131" s="361"/>
      <c r="H131" s="361"/>
      <c r="I131" s="361"/>
      <c r="J131" s="361"/>
      <c r="K131" s="361"/>
      <c r="L131" s="361"/>
      <c r="M131" s="361"/>
      <c r="Q131" s="361"/>
      <c r="R131" s="361"/>
    </row>
    <row r="132" spans="1:18" x14ac:dyDescent="0.25">
      <c r="A132" s="417"/>
      <c r="B132" s="440" t="s">
        <v>34</v>
      </c>
      <c r="C132" s="439" t="s">
        <v>41</v>
      </c>
      <c r="D132" s="369"/>
      <c r="E132" s="369"/>
      <c r="F132" s="361"/>
      <c r="G132" s="361"/>
      <c r="H132" s="361"/>
      <c r="I132" s="361"/>
      <c r="J132" s="361"/>
      <c r="K132" s="361"/>
      <c r="L132" s="361"/>
      <c r="M132" s="361"/>
      <c r="Q132" s="361"/>
      <c r="R132" s="361"/>
    </row>
    <row r="133" spans="1:18" x14ac:dyDescent="0.25">
      <c r="A133" s="417"/>
      <c r="B133" s="440" t="s">
        <v>164</v>
      </c>
      <c r="C133" s="439">
        <v>0.2</v>
      </c>
      <c r="D133" s="432" t="s">
        <v>198</v>
      </c>
      <c r="E133" s="369"/>
      <c r="F133" s="361"/>
      <c r="G133" s="361"/>
      <c r="H133" s="361"/>
      <c r="I133" s="361"/>
      <c r="J133" s="361"/>
      <c r="K133" s="361"/>
      <c r="L133" s="361"/>
      <c r="M133" s="361"/>
      <c r="Q133" s="361"/>
      <c r="R133" s="361"/>
    </row>
    <row r="134" spans="1:18" x14ac:dyDescent="0.25">
      <c r="A134" s="417"/>
      <c r="B134" s="440" t="s">
        <v>34</v>
      </c>
      <c r="C134" s="439" t="s">
        <v>42</v>
      </c>
      <c r="D134" s="369"/>
      <c r="E134" s="369"/>
      <c r="F134" s="361"/>
      <c r="G134" s="361"/>
      <c r="H134" s="361"/>
      <c r="I134" s="361"/>
      <c r="J134" s="361"/>
      <c r="K134" s="361"/>
      <c r="L134" s="361"/>
      <c r="M134" s="361"/>
      <c r="Q134" s="361"/>
      <c r="R134" s="361"/>
    </row>
    <row r="135" spans="1:18" x14ac:dyDescent="0.25">
      <c r="A135" s="417"/>
      <c r="B135" s="440" t="s">
        <v>135</v>
      </c>
      <c r="C135" s="441" t="s">
        <v>14</v>
      </c>
      <c r="D135" s="369"/>
      <c r="E135" s="369"/>
      <c r="F135" s="361"/>
      <c r="G135" s="361"/>
      <c r="H135" s="361"/>
      <c r="I135" s="361"/>
      <c r="J135" s="361"/>
      <c r="K135" s="361"/>
      <c r="L135" s="361"/>
      <c r="M135" s="361"/>
      <c r="Q135" s="361"/>
      <c r="R135" s="361"/>
    </row>
    <row r="136" spans="1:18" x14ac:dyDescent="0.25">
      <c r="A136" s="417"/>
      <c r="B136" s="440"/>
      <c r="C136" s="439"/>
      <c r="D136" s="369"/>
      <c r="E136" s="369"/>
      <c r="F136" s="361"/>
      <c r="G136" s="361"/>
      <c r="H136" s="361"/>
      <c r="I136" s="361"/>
      <c r="J136" s="361"/>
      <c r="K136" s="361"/>
      <c r="L136" s="361"/>
      <c r="M136" s="361"/>
      <c r="Q136" s="361"/>
      <c r="R136" s="361"/>
    </row>
    <row r="137" spans="1:18" ht="12" x14ac:dyDescent="0.2">
      <c r="A137" s="361"/>
      <c r="B137" s="440" t="s">
        <v>8</v>
      </c>
      <c r="C137" s="439" t="s">
        <v>9</v>
      </c>
      <c r="F137" s="361"/>
      <c r="G137" s="361"/>
      <c r="H137" s="361"/>
      <c r="I137" s="361"/>
      <c r="J137" s="361"/>
      <c r="K137" s="361"/>
      <c r="L137" s="361"/>
      <c r="M137" s="361"/>
    </row>
    <row r="138" spans="1:18" x14ac:dyDescent="0.25">
      <c r="A138" s="361"/>
      <c r="B138" s="440" t="s">
        <v>17</v>
      </c>
      <c r="C138" s="439">
        <v>1</v>
      </c>
      <c r="D138" s="432" t="s">
        <v>197</v>
      </c>
      <c r="F138" s="361"/>
      <c r="G138" s="361"/>
      <c r="H138" s="361"/>
      <c r="I138" s="361"/>
      <c r="J138" s="361"/>
      <c r="K138" s="361"/>
      <c r="L138" s="361"/>
      <c r="M138" s="361"/>
    </row>
    <row r="139" spans="1:18" x14ac:dyDescent="0.25">
      <c r="A139" s="361"/>
      <c r="B139" s="440" t="s">
        <v>194</v>
      </c>
      <c r="C139" s="441" t="s">
        <v>92</v>
      </c>
      <c r="D139" s="432" t="s">
        <v>370</v>
      </c>
      <c r="F139" s="361"/>
      <c r="G139" s="361"/>
      <c r="H139" s="361"/>
      <c r="I139" s="361"/>
      <c r="J139" s="361"/>
      <c r="K139" s="361"/>
      <c r="L139" s="361"/>
      <c r="M139" s="361"/>
    </row>
    <row r="140" spans="1:18" x14ac:dyDescent="0.25">
      <c r="B140" s="437"/>
      <c r="C140" s="438"/>
      <c r="F140" s="361"/>
      <c r="G140" s="361"/>
      <c r="H140" s="361"/>
      <c r="I140" s="361"/>
      <c r="J140" s="361"/>
      <c r="K140" s="361"/>
      <c r="L140" s="361"/>
      <c r="M140" s="361"/>
    </row>
    <row r="141" spans="1:18" ht="12" x14ac:dyDescent="0.2">
      <c r="A141" s="361"/>
      <c r="B141" s="438" t="s">
        <v>8</v>
      </c>
      <c r="C141" s="439" t="s">
        <v>9</v>
      </c>
      <c r="F141" s="361"/>
      <c r="G141" s="361"/>
      <c r="H141" s="361"/>
      <c r="I141" s="361"/>
      <c r="J141" s="361"/>
      <c r="K141" s="361"/>
      <c r="L141" s="361"/>
      <c r="M141" s="361"/>
    </row>
    <row r="142" spans="1:18" ht="12" x14ac:dyDescent="0.2">
      <c r="A142" s="361"/>
      <c r="B142" s="438" t="s">
        <v>17</v>
      </c>
      <c r="C142" s="439">
        <v>2</v>
      </c>
      <c r="F142" s="361"/>
      <c r="G142" s="361"/>
      <c r="H142" s="361"/>
      <c r="I142" s="361"/>
      <c r="J142" s="361"/>
      <c r="K142" s="361"/>
      <c r="L142" s="361"/>
      <c r="M142" s="361"/>
    </row>
    <row r="143" spans="1:18" x14ac:dyDescent="0.25">
      <c r="B143" s="440" t="s">
        <v>25</v>
      </c>
      <c r="C143" s="439">
        <v>1</v>
      </c>
      <c r="F143" s="361"/>
      <c r="G143" s="361"/>
      <c r="H143" s="361"/>
      <c r="I143" s="361"/>
      <c r="J143" s="361"/>
      <c r="K143" s="361"/>
      <c r="L143" s="361"/>
      <c r="M143" s="361"/>
    </row>
    <row r="144" spans="1:18" ht="12" x14ac:dyDescent="0.2">
      <c r="A144" s="361"/>
      <c r="B144" s="440" t="s">
        <v>195</v>
      </c>
      <c r="C144" s="439">
        <v>1</v>
      </c>
      <c r="F144" s="361"/>
      <c r="G144" s="361"/>
      <c r="H144" s="361"/>
      <c r="I144" s="361"/>
      <c r="J144" s="361"/>
      <c r="K144" s="361"/>
      <c r="L144" s="361"/>
      <c r="M144" s="361"/>
    </row>
    <row r="145" spans="1:18" ht="12" x14ac:dyDescent="0.2">
      <c r="A145" s="361"/>
      <c r="B145" s="438" t="s">
        <v>102</v>
      </c>
      <c r="C145" s="438">
        <v>6000</v>
      </c>
      <c r="F145" s="361"/>
      <c r="G145" s="361"/>
      <c r="H145" s="361"/>
      <c r="I145" s="361"/>
      <c r="J145" s="361"/>
      <c r="K145" s="361"/>
      <c r="L145" s="361"/>
      <c r="M145" s="361"/>
    </row>
    <row r="146" spans="1:18" ht="12" x14ac:dyDescent="0.2">
      <c r="A146" s="361"/>
      <c r="B146" s="438" t="s">
        <v>166</v>
      </c>
      <c r="C146" s="438" t="s">
        <v>386</v>
      </c>
      <c r="F146" s="361"/>
      <c r="G146" s="361"/>
      <c r="H146" s="361"/>
      <c r="I146" s="361"/>
      <c r="J146" s="361"/>
      <c r="K146" s="361"/>
      <c r="L146" s="361"/>
      <c r="M146" s="361"/>
    </row>
    <row r="147" spans="1:18" ht="12" x14ac:dyDescent="0.2">
      <c r="A147" s="361"/>
      <c r="B147" s="438"/>
      <c r="C147" s="438"/>
      <c r="F147" s="361"/>
      <c r="G147" s="361"/>
      <c r="H147" s="361"/>
      <c r="I147" s="361"/>
      <c r="J147" s="361"/>
      <c r="K147" s="361"/>
      <c r="L147" s="361"/>
      <c r="M147" s="361"/>
    </row>
    <row r="148" spans="1:18" x14ac:dyDescent="0.25">
      <c r="A148" s="417"/>
      <c r="B148" s="440" t="s">
        <v>8</v>
      </c>
      <c r="C148" s="439" t="s">
        <v>32</v>
      </c>
      <c r="D148" s="432" t="str">
        <f>"If " &amp; C150 &amp; " seconds pass, OR Voltage &lt;" &amp; C152 &amp; " Volts, OR LB_ENBL is OFF go to next 'Step Type'"</f>
        <v>If 15 seconds pass, OR Voltage &lt;0.2 Volts, OR LB_ENBL is OFF go to next 'Step Type'</v>
      </c>
      <c r="E148" s="369"/>
      <c r="F148" s="361"/>
      <c r="G148" s="361"/>
      <c r="H148" s="361"/>
      <c r="I148" s="361"/>
      <c r="J148" s="361"/>
      <c r="K148" s="361"/>
      <c r="L148" s="361"/>
      <c r="M148" s="361"/>
      <c r="Q148" s="361"/>
      <c r="R148" s="361"/>
    </row>
    <row r="149" spans="1:18" x14ac:dyDescent="0.25">
      <c r="A149" s="417"/>
      <c r="B149" s="440" t="s">
        <v>45</v>
      </c>
      <c r="C149" s="439" t="s">
        <v>46</v>
      </c>
      <c r="D149" s="369"/>
      <c r="E149" s="369"/>
      <c r="F149" s="361"/>
      <c r="G149" s="361"/>
      <c r="H149" s="361"/>
      <c r="I149" s="361"/>
      <c r="J149" s="361"/>
      <c r="K149" s="361"/>
      <c r="L149" s="361"/>
      <c r="M149" s="361"/>
      <c r="Q149" s="361"/>
      <c r="R149" s="361"/>
    </row>
    <row r="150" spans="1:18" x14ac:dyDescent="0.25">
      <c r="A150" s="417"/>
      <c r="B150" s="440" t="s">
        <v>17</v>
      </c>
      <c r="C150" s="439">
        <v>15</v>
      </c>
      <c r="D150" s="369"/>
      <c r="E150" s="369"/>
      <c r="F150" s="361"/>
      <c r="G150" s="361"/>
      <c r="H150" s="361"/>
      <c r="I150" s="361"/>
      <c r="J150" s="361"/>
      <c r="K150" s="361"/>
      <c r="L150" s="361"/>
      <c r="M150" s="361"/>
      <c r="Q150" s="361"/>
      <c r="R150" s="361"/>
    </row>
    <row r="151" spans="1:18" x14ac:dyDescent="0.25">
      <c r="A151" s="417"/>
      <c r="B151" s="440" t="s">
        <v>34</v>
      </c>
      <c r="C151" s="439" t="s">
        <v>41</v>
      </c>
      <c r="D151" s="369"/>
      <c r="E151" s="369"/>
      <c r="F151" s="361"/>
      <c r="G151" s="361"/>
      <c r="H151" s="361"/>
      <c r="I151" s="361"/>
      <c r="J151" s="361"/>
      <c r="K151" s="361"/>
      <c r="L151" s="361"/>
      <c r="M151" s="361"/>
      <c r="Q151" s="361"/>
      <c r="R151" s="361"/>
    </row>
    <row r="152" spans="1:18" x14ac:dyDescent="0.25">
      <c r="A152" s="417"/>
      <c r="B152" s="440" t="s">
        <v>164</v>
      </c>
      <c r="C152" s="439">
        <v>0.2</v>
      </c>
      <c r="D152" s="432" t="s">
        <v>198</v>
      </c>
      <c r="E152" s="369"/>
      <c r="F152" s="361"/>
      <c r="G152" s="361"/>
      <c r="H152" s="361"/>
      <c r="I152" s="361"/>
      <c r="J152" s="361"/>
      <c r="K152" s="361"/>
      <c r="L152" s="361"/>
      <c r="M152" s="361"/>
      <c r="Q152" s="361"/>
      <c r="R152" s="361"/>
    </row>
    <row r="153" spans="1:18" x14ac:dyDescent="0.25">
      <c r="A153" s="417"/>
      <c r="B153" s="440" t="s">
        <v>34</v>
      </c>
      <c r="C153" s="439" t="s">
        <v>42</v>
      </c>
      <c r="D153" s="369"/>
      <c r="E153" s="369"/>
      <c r="F153" s="361"/>
      <c r="G153" s="361"/>
      <c r="H153" s="361"/>
      <c r="I153" s="361"/>
      <c r="J153" s="361"/>
      <c r="K153" s="361"/>
      <c r="L153" s="361"/>
      <c r="M153" s="361"/>
      <c r="Q153" s="361"/>
      <c r="R153" s="361"/>
    </row>
    <row r="154" spans="1:18" x14ac:dyDescent="0.25">
      <c r="A154" s="417"/>
      <c r="B154" s="440" t="s">
        <v>135</v>
      </c>
      <c r="C154" s="441" t="s">
        <v>14</v>
      </c>
      <c r="D154" s="369"/>
      <c r="E154" s="369"/>
      <c r="F154" s="361"/>
      <c r="G154" s="361"/>
      <c r="H154" s="361"/>
      <c r="I154" s="361"/>
      <c r="J154" s="361"/>
      <c r="K154" s="361"/>
      <c r="L154" s="361"/>
      <c r="M154" s="361"/>
      <c r="Q154" s="361"/>
      <c r="R154" s="361"/>
    </row>
    <row r="155" spans="1:18" x14ac:dyDescent="0.25">
      <c r="A155" s="417"/>
      <c r="B155" s="440"/>
      <c r="C155" s="439"/>
      <c r="D155" s="369"/>
      <c r="E155" s="369"/>
      <c r="F155" s="361"/>
      <c r="G155" s="361"/>
      <c r="H155" s="361"/>
      <c r="I155" s="361"/>
      <c r="J155" s="361"/>
      <c r="K155" s="361"/>
      <c r="L155" s="361"/>
      <c r="M155" s="361"/>
      <c r="Q155" s="361"/>
      <c r="R155" s="361"/>
    </row>
    <row r="156" spans="1:18" ht="12" x14ac:dyDescent="0.2">
      <c r="A156" s="361"/>
      <c r="B156" s="440" t="s">
        <v>8</v>
      </c>
      <c r="C156" s="439" t="s">
        <v>9</v>
      </c>
      <c r="F156" s="361"/>
      <c r="G156" s="361"/>
      <c r="H156" s="361"/>
      <c r="I156" s="361"/>
      <c r="J156" s="361"/>
      <c r="K156" s="361"/>
      <c r="L156" s="361"/>
      <c r="M156" s="361"/>
    </row>
    <row r="157" spans="1:18" x14ac:dyDescent="0.25">
      <c r="A157" s="361"/>
      <c r="B157" s="440" t="s">
        <v>17</v>
      </c>
      <c r="C157" s="439">
        <v>1</v>
      </c>
      <c r="D157" s="432" t="s">
        <v>197</v>
      </c>
      <c r="F157" s="361"/>
      <c r="G157" s="361"/>
      <c r="H157" s="361"/>
      <c r="I157" s="361"/>
      <c r="J157" s="361"/>
      <c r="K157" s="361"/>
      <c r="L157" s="361"/>
      <c r="M157" s="361"/>
    </row>
    <row r="158" spans="1:18" x14ac:dyDescent="0.25">
      <c r="A158" s="361"/>
      <c r="B158" s="440" t="s">
        <v>194</v>
      </c>
      <c r="C158" s="441" t="s">
        <v>92</v>
      </c>
      <c r="D158" s="432" t="s">
        <v>370</v>
      </c>
      <c r="F158" s="361"/>
      <c r="G158" s="361"/>
      <c r="H158" s="361"/>
      <c r="I158" s="361"/>
      <c r="J158" s="361"/>
      <c r="K158" s="361"/>
      <c r="L158" s="361"/>
      <c r="M158" s="361"/>
    </row>
    <row r="159" spans="1:18" x14ac:dyDescent="0.25">
      <c r="B159" s="437"/>
      <c r="C159" s="438"/>
      <c r="F159" s="361"/>
      <c r="G159" s="361"/>
      <c r="H159" s="361"/>
      <c r="I159" s="361"/>
      <c r="J159" s="361"/>
      <c r="K159" s="361"/>
      <c r="L159" s="361"/>
      <c r="M159" s="361"/>
    </row>
    <row r="160" spans="1:18" ht="12" x14ac:dyDescent="0.2">
      <c r="A160" s="361"/>
      <c r="B160" s="438" t="s">
        <v>8</v>
      </c>
      <c r="C160" s="439" t="s">
        <v>9</v>
      </c>
      <c r="F160" s="361"/>
      <c r="G160" s="361"/>
      <c r="H160" s="361"/>
      <c r="I160" s="361"/>
      <c r="J160" s="361"/>
      <c r="K160" s="361"/>
      <c r="L160" s="361"/>
      <c r="M160" s="361"/>
    </row>
    <row r="161" spans="1:18" ht="12" x14ac:dyDescent="0.2">
      <c r="A161" s="361"/>
      <c r="B161" s="438" t="s">
        <v>17</v>
      </c>
      <c r="C161" s="439">
        <v>2</v>
      </c>
      <c r="F161" s="361"/>
      <c r="G161" s="361"/>
      <c r="H161" s="361"/>
      <c r="I161" s="361"/>
      <c r="J161" s="361"/>
      <c r="K161" s="361"/>
      <c r="L161" s="361"/>
      <c r="M161" s="361"/>
    </row>
    <row r="162" spans="1:18" x14ac:dyDescent="0.25">
      <c r="B162" s="440" t="s">
        <v>25</v>
      </c>
      <c r="C162" s="439">
        <v>1</v>
      </c>
      <c r="F162" s="361"/>
      <c r="G162" s="361"/>
      <c r="H162" s="361"/>
      <c r="I162" s="361"/>
      <c r="J162" s="361"/>
      <c r="K162" s="361"/>
      <c r="L162" s="361"/>
      <c r="M162" s="361"/>
    </row>
    <row r="163" spans="1:18" ht="12" x14ac:dyDescent="0.2">
      <c r="A163" s="361"/>
      <c r="B163" s="440" t="s">
        <v>195</v>
      </c>
      <c r="C163" s="439">
        <v>1</v>
      </c>
      <c r="F163" s="361"/>
      <c r="G163" s="361"/>
      <c r="H163" s="361"/>
      <c r="I163" s="361"/>
      <c r="J163" s="361"/>
      <c r="K163" s="361"/>
      <c r="L163" s="361"/>
      <c r="M163" s="361"/>
    </row>
    <row r="164" spans="1:18" ht="12" x14ac:dyDescent="0.2">
      <c r="A164" s="361"/>
      <c r="B164" s="438" t="s">
        <v>102</v>
      </c>
      <c r="C164" s="438">
        <v>10000</v>
      </c>
      <c r="F164" s="361"/>
      <c r="G164" s="361"/>
      <c r="H164" s="361"/>
      <c r="I164" s="361"/>
      <c r="J164" s="361"/>
      <c r="K164" s="361"/>
      <c r="L164" s="361"/>
      <c r="M164" s="361"/>
    </row>
    <row r="165" spans="1:18" ht="12" x14ac:dyDescent="0.2">
      <c r="A165" s="361"/>
      <c r="B165" s="438" t="s">
        <v>166</v>
      </c>
      <c r="C165" s="438" t="s">
        <v>387</v>
      </c>
      <c r="F165" s="361"/>
      <c r="G165" s="361"/>
      <c r="H165" s="361"/>
      <c r="I165" s="361"/>
      <c r="J165" s="361"/>
      <c r="K165" s="361"/>
      <c r="L165" s="361"/>
      <c r="M165" s="361"/>
    </row>
    <row r="166" spans="1:18" ht="12" x14ac:dyDescent="0.2">
      <c r="A166" s="361"/>
      <c r="B166" s="438"/>
      <c r="C166" s="438"/>
      <c r="F166" s="361"/>
      <c r="G166" s="361"/>
      <c r="H166" s="361"/>
      <c r="I166" s="361"/>
      <c r="J166" s="361"/>
      <c r="K166" s="361"/>
      <c r="L166" s="361"/>
      <c r="M166" s="361"/>
    </row>
    <row r="167" spans="1:18" x14ac:dyDescent="0.25">
      <c r="A167" s="417"/>
      <c r="B167" s="440" t="s">
        <v>8</v>
      </c>
      <c r="C167" s="439" t="s">
        <v>32</v>
      </c>
      <c r="D167" s="432" t="str">
        <f>"If " &amp; C169 &amp; " seconds pass, OR Voltage &lt;" &amp; C171 &amp; " Volts, OR LB_ENBL is OFF go to next 'Step Type'"</f>
        <v>If 15 seconds pass, OR Voltage &lt;0.2 Volts, OR LB_ENBL is OFF go to next 'Step Type'</v>
      </c>
      <c r="E167" s="369"/>
      <c r="F167" s="361"/>
      <c r="G167" s="361"/>
      <c r="H167" s="361"/>
      <c r="I167" s="361"/>
      <c r="J167" s="361"/>
      <c r="K167" s="361"/>
      <c r="L167" s="361"/>
      <c r="M167" s="361"/>
      <c r="Q167" s="361"/>
      <c r="R167" s="361"/>
    </row>
    <row r="168" spans="1:18" x14ac:dyDescent="0.25">
      <c r="A168" s="417"/>
      <c r="B168" s="440" t="s">
        <v>45</v>
      </c>
      <c r="C168" s="439" t="s">
        <v>46</v>
      </c>
      <c r="D168" s="369"/>
      <c r="E168" s="369"/>
      <c r="F168" s="361"/>
      <c r="G168" s="361"/>
      <c r="H168" s="361"/>
      <c r="I168" s="361"/>
      <c r="J168" s="361"/>
      <c r="K168" s="361"/>
      <c r="L168" s="361"/>
      <c r="M168" s="361"/>
      <c r="Q168" s="361"/>
      <c r="R168" s="361"/>
    </row>
    <row r="169" spans="1:18" x14ac:dyDescent="0.25">
      <c r="A169" s="417"/>
      <c r="B169" s="440" t="s">
        <v>17</v>
      </c>
      <c r="C169" s="439">
        <v>15</v>
      </c>
      <c r="D169" s="369"/>
      <c r="E169" s="369"/>
      <c r="F169" s="361"/>
      <c r="G169" s="361"/>
      <c r="H169" s="361"/>
      <c r="I169" s="361"/>
      <c r="J169" s="361"/>
      <c r="K169" s="361"/>
      <c r="L169" s="361"/>
      <c r="M169" s="361"/>
      <c r="Q169" s="361"/>
      <c r="R169" s="361"/>
    </row>
    <row r="170" spans="1:18" x14ac:dyDescent="0.25">
      <c r="A170" s="417"/>
      <c r="B170" s="440" t="s">
        <v>34</v>
      </c>
      <c r="C170" s="439" t="s">
        <v>41</v>
      </c>
      <c r="D170" s="369"/>
      <c r="E170" s="369"/>
      <c r="F170" s="361"/>
      <c r="G170" s="361"/>
      <c r="H170" s="361"/>
      <c r="I170" s="361"/>
      <c r="J170" s="361"/>
      <c r="K170" s="361"/>
      <c r="L170" s="361"/>
      <c r="M170" s="361"/>
      <c r="Q170" s="361"/>
      <c r="R170" s="361"/>
    </row>
    <row r="171" spans="1:18" x14ac:dyDescent="0.25">
      <c r="A171" s="417"/>
      <c r="B171" s="440" t="s">
        <v>164</v>
      </c>
      <c r="C171" s="439">
        <v>0.2</v>
      </c>
      <c r="D171" s="432" t="s">
        <v>198</v>
      </c>
      <c r="E171" s="369"/>
      <c r="F171" s="361"/>
      <c r="G171" s="361"/>
      <c r="H171" s="361"/>
      <c r="I171" s="361"/>
      <c r="J171" s="361"/>
      <c r="K171" s="361"/>
      <c r="L171" s="361"/>
      <c r="M171" s="361"/>
      <c r="Q171" s="361"/>
      <c r="R171" s="361"/>
    </row>
    <row r="172" spans="1:18" x14ac:dyDescent="0.25">
      <c r="A172" s="417"/>
      <c r="B172" s="440" t="s">
        <v>34</v>
      </c>
      <c r="C172" s="439" t="s">
        <v>42</v>
      </c>
      <c r="D172" s="369"/>
      <c r="E172" s="369"/>
      <c r="F172" s="361"/>
      <c r="G172" s="361"/>
      <c r="H172" s="361"/>
      <c r="I172" s="361"/>
      <c r="J172" s="361"/>
      <c r="K172" s="361"/>
      <c r="L172" s="361"/>
      <c r="M172" s="361"/>
      <c r="Q172" s="361"/>
      <c r="R172" s="361"/>
    </row>
    <row r="173" spans="1:18" x14ac:dyDescent="0.25">
      <c r="A173" s="417"/>
      <c r="B173" s="440" t="s">
        <v>135</v>
      </c>
      <c r="C173" s="441" t="s">
        <v>14</v>
      </c>
      <c r="D173" s="369"/>
      <c r="E173" s="369"/>
      <c r="F173" s="361"/>
      <c r="G173" s="361"/>
      <c r="H173" s="361"/>
      <c r="I173" s="361"/>
      <c r="J173" s="361"/>
      <c r="K173" s="361"/>
      <c r="L173" s="361"/>
      <c r="M173" s="361"/>
      <c r="Q173" s="361"/>
      <c r="R173" s="361"/>
    </row>
    <row r="174" spans="1:18" x14ac:dyDescent="0.25">
      <c r="A174" s="417"/>
      <c r="B174" s="440"/>
      <c r="C174" s="439"/>
      <c r="D174" s="369"/>
      <c r="E174" s="369"/>
      <c r="F174" s="361"/>
      <c r="G174" s="361"/>
      <c r="H174" s="361"/>
      <c r="I174" s="361"/>
      <c r="J174" s="361"/>
      <c r="K174" s="361"/>
      <c r="L174" s="361"/>
      <c r="M174" s="361"/>
      <c r="Q174" s="361"/>
      <c r="R174" s="361"/>
    </row>
    <row r="175" spans="1:18" ht="12" x14ac:dyDescent="0.2">
      <c r="A175" s="361"/>
      <c r="B175" s="440" t="s">
        <v>8</v>
      </c>
      <c r="C175" s="439" t="s">
        <v>9</v>
      </c>
      <c r="F175" s="361"/>
      <c r="G175" s="361"/>
      <c r="H175" s="361"/>
      <c r="I175" s="361"/>
      <c r="J175" s="361"/>
      <c r="K175" s="361"/>
      <c r="L175" s="361"/>
      <c r="M175" s="361"/>
    </row>
    <row r="176" spans="1:18" x14ac:dyDescent="0.25">
      <c r="A176" s="361"/>
      <c r="B176" s="440" t="s">
        <v>17</v>
      </c>
      <c r="C176" s="439">
        <v>1</v>
      </c>
      <c r="D176" s="432" t="s">
        <v>197</v>
      </c>
      <c r="F176" s="361"/>
      <c r="G176" s="361"/>
      <c r="H176" s="361"/>
      <c r="I176" s="361"/>
      <c r="J176" s="361"/>
      <c r="K176" s="361"/>
      <c r="L176" s="361"/>
      <c r="M176" s="361"/>
    </row>
    <row r="177" spans="1:18" x14ac:dyDescent="0.25">
      <c r="A177" s="361"/>
      <c r="B177" s="440" t="s">
        <v>194</v>
      </c>
      <c r="C177" s="441" t="s">
        <v>92</v>
      </c>
      <c r="D177" s="432" t="s">
        <v>370</v>
      </c>
      <c r="F177" s="361"/>
      <c r="G177" s="361"/>
      <c r="H177" s="361"/>
      <c r="I177" s="361"/>
      <c r="J177" s="361"/>
      <c r="K177" s="361"/>
      <c r="L177" s="361"/>
      <c r="M177" s="361"/>
    </row>
    <row r="178" spans="1:18" ht="12" x14ac:dyDescent="0.2">
      <c r="A178" s="361"/>
      <c r="B178" s="438" t="s">
        <v>102</v>
      </c>
      <c r="C178" s="438">
        <v>1000</v>
      </c>
      <c r="F178" s="361"/>
      <c r="G178" s="361"/>
      <c r="H178" s="361"/>
      <c r="I178" s="361"/>
      <c r="J178" s="361"/>
      <c r="K178" s="361"/>
      <c r="L178" s="361"/>
      <c r="M178" s="361"/>
    </row>
    <row r="179" spans="1:18" x14ac:dyDescent="0.25">
      <c r="D179" s="432"/>
    </row>
    <row r="180" spans="1:18" x14ac:dyDescent="0.25">
      <c r="A180" s="360" t="s">
        <v>6</v>
      </c>
    </row>
    <row r="181" spans="1:18" x14ac:dyDescent="0.25">
      <c r="B181" s="361" t="s">
        <v>8</v>
      </c>
      <c r="C181" s="361" t="s">
        <v>9</v>
      </c>
    </row>
    <row r="182" spans="1:18" x14ac:dyDescent="0.25">
      <c r="B182" s="361" t="s">
        <v>17</v>
      </c>
      <c r="C182" s="361">
        <v>2</v>
      </c>
    </row>
    <row r="183" spans="1:18" x14ac:dyDescent="0.25">
      <c r="B183" s="361" t="s">
        <v>166</v>
      </c>
      <c r="C183" s="362" t="str">
        <f ca="1">MID(CELL("filename",A1),FIND("]",CELL("filename",A1))+1,256) &amp; " Finished"</f>
        <v>Gen2pt2 Finished</v>
      </c>
    </row>
    <row r="184" spans="1:18" x14ac:dyDescent="0.25">
      <c r="B184" s="361" t="s">
        <v>193</v>
      </c>
      <c r="C184" s="370" t="s">
        <v>48</v>
      </c>
    </row>
    <row r="185" spans="1:18" x14ac:dyDescent="0.25">
      <c r="B185" s="361" t="s">
        <v>201</v>
      </c>
      <c r="C185" s="362" t="s">
        <v>92</v>
      </c>
    </row>
    <row r="186" spans="1:18" x14ac:dyDescent="0.25">
      <c r="B186" s="361" t="s">
        <v>202</v>
      </c>
      <c r="C186" s="362" t="s">
        <v>92</v>
      </c>
      <c r="D186" s="368" t="s">
        <v>200</v>
      </c>
    </row>
    <row r="187" spans="1:18" x14ac:dyDescent="0.25">
      <c r="A187" s="361"/>
      <c r="B187" s="371" t="s">
        <v>152</v>
      </c>
      <c r="C187" s="362" t="s">
        <v>92</v>
      </c>
      <c r="D187" s="368"/>
      <c r="Q187" s="361"/>
      <c r="R187" s="361"/>
    </row>
    <row r="188" spans="1:18" x14ac:dyDescent="0.25">
      <c r="A188" s="360" t="s">
        <v>7</v>
      </c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FF8A-EA62-49A3-B430-14A7F729679B}">
  <sheetPr codeName="Sheet23">
    <pageSetUpPr fitToPage="1"/>
  </sheetPr>
  <dimension ref="A1:Z116"/>
  <sheetViews>
    <sheetView topLeftCell="A32" zoomScale="85" zoomScaleNormal="25" zoomScaleSheetLayoutView="70" workbookViewId="0">
      <selection activeCell="A108" sqref="A108:IV114"/>
    </sheetView>
  </sheetViews>
  <sheetFormatPr defaultRowHeight="12.75" x14ac:dyDescent="0.2"/>
  <cols>
    <col min="1" max="1" width="11.5703125" style="4" bestFit="1" customWidth="1"/>
    <col min="2" max="2" width="56" style="2" customWidth="1"/>
    <col min="3" max="3" width="20.140625" style="2" customWidth="1"/>
    <col min="4" max="4" width="7.85546875" style="2" customWidth="1"/>
    <col min="5" max="5" width="18.42578125" style="2" bestFit="1" customWidth="1"/>
    <col min="6" max="6" width="8.42578125" style="6" bestFit="1" customWidth="1"/>
    <col min="7" max="7" width="8.7109375" style="6" bestFit="1" customWidth="1"/>
    <col min="8" max="8" width="8.5703125" style="6" bestFit="1" customWidth="1"/>
    <col min="9" max="9" width="9.28515625" style="6" bestFit="1" customWidth="1"/>
    <col min="10" max="10" width="7.5703125" style="6" bestFit="1" customWidth="1"/>
    <col min="11" max="11" width="9.85546875" style="6" bestFit="1" customWidth="1"/>
    <col min="12" max="13" width="8.140625" style="6" customWidth="1"/>
    <col min="14" max="14" width="6.42578125" style="2" bestFit="1" customWidth="1"/>
    <col min="15" max="15" width="9.5703125" style="2" customWidth="1"/>
    <col min="16" max="16" width="9.5703125" style="2" bestFit="1" customWidth="1"/>
    <col min="17" max="18" width="7.5703125" style="1" bestFit="1" customWidth="1"/>
    <col min="19" max="19" width="11.28515625" style="2" customWidth="1"/>
    <col min="20" max="16384" width="9.140625" style="2"/>
  </cols>
  <sheetData>
    <row r="1" spans="1:19" s="4" customFormat="1" x14ac:dyDescent="0.2">
      <c r="A1" s="4" t="s">
        <v>3</v>
      </c>
      <c r="B1" s="4" t="s">
        <v>4</v>
      </c>
      <c r="C1" s="2"/>
      <c r="E1" s="2"/>
      <c r="F1" s="6"/>
      <c r="G1" s="6"/>
      <c r="H1" s="6"/>
      <c r="I1" s="6"/>
      <c r="J1" s="6"/>
      <c r="K1" s="6"/>
      <c r="L1" s="6"/>
      <c r="M1" s="6"/>
      <c r="N1" s="2"/>
      <c r="O1" s="2"/>
      <c r="P1" s="2"/>
      <c r="Q1" s="1"/>
      <c r="R1" s="1"/>
      <c r="S1" s="2"/>
    </row>
    <row r="2" spans="1:19" x14ac:dyDescent="0.2">
      <c r="A2" s="4" t="s">
        <v>0</v>
      </c>
      <c r="B2" s="3" t="s">
        <v>1</v>
      </c>
      <c r="C2" s="3" t="s">
        <v>2</v>
      </c>
    </row>
    <row r="4" spans="1:19" x14ac:dyDescent="0.2">
      <c r="A4" s="4" t="s">
        <v>5</v>
      </c>
    </row>
    <row r="5" spans="1:19" x14ac:dyDescent="0.2">
      <c r="B5" s="2" t="s">
        <v>8</v>
      </c>
      <c r="C5" s="2" t="s">
        <v>9</v>
      </c>
    </row>
    <row r="6" spans="1:19" x14ac:dyDescent="0.2">
      <c r="B6" s="2" t="s">
        <v>17</v>
      </c>
      <c r="C6" s="25">
        <v>2</v>
      </c>
    </row>
    <row r="7" spans="1:19" x14ac:dyDescent="0.2">
      <c r="B7" s="2" t="s">
        <v>166</v>
      </c>
      <c r="C7" s="25" t="s">
        <v>5</v>
      </c>
    </row>
    <row r="8" spans="1:19" x14ac:dyDescent="0.2">
      <c r="A8" s="4" t="s">
        <v>21</v>
      </c>
      <c r="B8" s="2" t="s">
        <v>191</v>
      </c>
      <c r="C8" s="25" t="s">
        <v>192</v>
      </c>
    </row>
    <row r="9" spans="1:19" x14ac:dyDescent="0.2">
      <c r="B9" s="2" t="s">
        <v>193</v>
      </c>
      <c r="C9" s="25" t="s">
        <v>92</v>
      </c>
    </row>
    <row r="10" spans="1:19" x14ac:dyDescent="0.2">
      <c r="C10" s="25"/>
    </row>
    <row r="11" spans="1:19" x14ac:dyDescent="0.2">
      <c r="B11" s="2" t="s">
        <v>135</v>
      </c>
      <c r="C11" s="25" t="s">
        <v>14</v>
      </c>
    </row>
    <row r="12" spans="1:19" x14ac:dyDescent="0.2">
      <c r="B12" s="2" t="s">
        <v>133</v>
      </c>
      <c r="C12" s="25" t="s">
        <v>68</v>
      </c>
    </row>
    <row r="13" spans="1:19" x14ac:dyDescent="0.2">
      <c r="B13" s="2" t="s">
        <v>136</v>
      </c>
      <c r="C13" s="28">
        <v>1.1000000000000001</v>
      </c>
    </row>
    <row r="14" spans="1:19" x14ac:dyDescent="0.2">
      <c r="B14" s="2" t="s">
        <v>137</v>
      </c>
      <c r="C14" s="94">
        <v>0</v>
      </c>
    </row>
    <row r="15" spans="1:19" x14ac:dyDescent="0.2">
      <c r="C15" s="28"/>
    </row>
    <row r="16" spans="1:19" x14ac:dyDescent="0.2">
      <c r="B16" s="2" t="s">
        <v>167</v>
      </c>
      <c r="C16" s="108">
        <v>100</v>
      </c>
    </row>
    <row r="17" spans="1:26" x14ac:dyDescent="0.2">
      <c r="B17" s="2" t="s">
        <v>139</v>
      </c>
      <c r="C17" s="25">
        <v>0</v>
      </c>
    </row>
    <row r="18" spans="1:26" s="6" customFormat="1" x14ac:dyDescent="0.2">
      <c r="A18" s="5"/>
      <c r="B18" s="6" t="s">
        <v>138</v>
      </c>
      <c r="C18" s="27">
        <v>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26" x14ac:dyDescent="0.2">
      <c r="B19" s="2" t="s">
        <v>149</v>
      </c>
      <c r="C19" s="25">
        <v>0</v>
      </c>
    </row>
    <row r="20" spans="1:26" x14ac:dyDescent="0.2">
      <c r="B20" s="2" t="s">
        <v>150</v>
      </c>
      <c r="C20" s="25">
        <v>0</v>
      </c>
    </row>
    <row r="21" spans="1:26" x14ac:dyDescent="0.2">
      <c r="A21" s="2"/>
      <c r="B21" s="2" t="s">
        <v>151</v>
      </c>
      <c r="C21" s="25" t="s">
        <v>168</v>
      </c>
      <c r="D21" s="3"/>
      <c r="F21" s="2"/>
      <c r="G21" s="2"/>
      <c r="H21" s="2"/>
      <c r="I21" s="2"/>
      <c r="J21" s="2"/>
      <c r="K21" s="2"/>
      <c r="L21" s="2"/>
      <c r="M21" s="2"/>
      <c r="Q21" s="2"/>
      <c r="R21" s="2"/>
    </row>
    <row r="22" spans="1:26" x14ac:dyDescent="0.2">
      <c r="A22" s="2"/>
      <c r="C22" s="25"/>
      <c r="D22" s="3"/>
      <c r="F22" s="2"/>
      <c r="G22" s="2"/>
      <c r="H22" s="2"/>
      <c r="I22" s="2"/>
      <c r="J22" s="2"/>
      <c r="K22" s="2"/>
      <c r="L22" s="2"/>
      <c r="M22" s="2"/>
      <c r="Q22" s="2"/>
      <c r="R22" s="2"/>
    </row>
    <row r="23" spans="1:26" x14ac:dyDescent="0.2">
      <c r="A23" s="2"/>
      <c r="B23" s="8" t="s">
        <v>152</v>
      </c>
      <c r="C23" s="25" t="s">
        <v>24</v>
      </c>
      <c r="D23" s="3"/>
      <c r="Q23" s="2"/>
      <c r="R23" s="2"/>
    </row>
    <row r="24" spans="1:26" x14ac:dyDescent="0.2">
      <c r="A24" s="2"/>
      <c r="B24" s="8" t="s">
        <v>153</v>
      </c>
      <c r="C24" s="25" t="s">
        <v>92</v>
      </c>
      <c r="D24" s="26"/>
      <c r="Q24" s="2"/>
      <c r="R24" s="2"/>
    </row>
    <row r="25" spans="1:26" s="33" customFormat="1" x14ac:dyDescent="0.2">
      <c r="A25" s="109"/>
      <c r="B25" s="47" t="s">
        <v>178</v>
      </c>
      <c r="C25" s="27" t="s">
        <v>92</v>
      </c>
      <c r="D25" s="110" t="s">
        <v>179</v>
      </c>
      <c r="Q25" s="111"/>
      <c r="R25" s="111"/>
      <c r="S25" s="111"/>
      <c r="Z25" s="111"/>
    </row>
    <row r="26" spans="1:26" x14ac:dyDescent="0.2">
      <c r="A26" s="2"/>
      <c r="B26" s="2" t="s">
        <v>154</v>
      </c>
      <c r="C26" s="25" t="s">
        <v>14</v>
      </c>
      <c r="D26" s="3"/>
      <c r="Q26" s="2"/>
      <c r="R26" s="2"/>
    </row>
    <row r="27" spans="1:26" x14ac:dyDescent="0.2">
      <c r="A27" s="2"/>
      <c r="B27" s="2" t="s">
        <v>155</v>
      </c>
      <c r="C27" s="25" t="s">
        <v>14</v>
      </c>
      <c r="D27" s="3"/>
      <c r="Q27" s="2"/>
      <c r="R27" s="2"/>
    </row>
    <row r="28" spans="1:26" x14ac:dyDescent="0.2">
      <c r="A28" s="2"/>
      <c r="C28" s="25"/>
      <c r="D28" s="3"/>
      <c r="Q28" s="2"/>
      <c r="R28" s="2"/>
    </row>
    <row r="29" spans="1:26" x14ac:dyDescent="0.2">
      <c r="A29" s="2"/>
      <c r="B29" s="2" t="s">
        <v>16</v>
      </c>
      <c r="C29" s="25" t="s">
        <v>24</v>
      </c>
      <c r="D29" s="3"/>
      <c r="E29" s="3"/>
      <c r="Q29" s="2"/>
      <c r="R29" s="2"/>
    </row>
    <row r="30" spans="1:26" x14ac:dyDescent="0.2">
      <c r="A30" s="2"/>
      <c r="B30" s="2" t="s">
        <v>25</v>
      </c>
      <c r="C30" s="25">
        <v>30</v>
      </c>
      <c r="D30" s="3"/>
      <c r="Q30" s="2"/>
      <c r="R30" s="2"/>
    </row>
    <row r="31" spans="1:26" x14ac:dyDescent="0.2">
      <c r="A31" s="2"/>
      <c r="B31" s="2" t="s">
        <v>195</v>
      </c>
      <c r="C31" s="25">
        <v>30</v>
      </c>
      <c r="D31" s="3"/>
      <c r="Q31" s="2"/>
      <c r="R31" s="2"/>
    </row>
    <row r="32" spans="1:26" x14ac:dyDescent="0.2">
      <c r="A32" s="2"/>
      <c r="B32" s="2" t="s">
        <v>190</v>
      </c>
      <c r="C32" s="25">
        <v>1</v>
      </c>
      <c r="D32" s="3"/>
      <c r="Q32" s="2"/>
      <c r="R32" s="2"/>
    </row>
    <row r="33" spans="1:19" x14ac:dyDescent="0.2">
      <c r="A33" s="2"/>
      <c r="C33" s="25"/>
      <c r="Q33" s="2"/>
      <c r="R33" s="2"/>
    </row>
    <row r="34" spans="1:19" x14ac:dyDescent="0.2">
      <c r="A34" s="2"/>
      <c r="B34" s="2" t="s">
        <v>156</v>
      </c>
      <c r="C34" s="28" t="s">
        <v>24</v>
      </c>
      <c r="F34" s="2"/>
      <c r="G34" s="2"/>
      <c r="H34" s="2"/>
      <c r="I34" s="2"/>
      <c r="J34" s="2"/>
      <c r="K34" s="2"/>
      <c r="L34" s="2"/>
      <c r="M34" s="2"/>
      <c r="Q34" s="2"/>
      <c r="R34" s="2"/>
    </row>
    <row r="35" spans="1:19" x14ac:dyDescent="0.2">
      <c r="A35" s="2"/>
      <c r="B35" s="2" t="s">
        <v>157</v>
      </c>
      <c r="C35" s="28">
        <v>-0.1</v>
      </c>
      <c r="F35" s="2"/>
      <c r="G35" s="2"/>
      <c r="H35" s="2"/>
      <c r="I35" s="2"/>
      <c r="J35" s="2"/>
      <c r="K35" s="2"/>
      <c r="L35" s="2"/>
      <c r="M35" s="2"/>
      <c r="Q35" s="2"/>
      <c r="R35" s="2"/>
    </row>
    <row r="36" spans="1:19" x14ac:dyDescent="0.2">
      <c r="A36" s="2"/>
      <c r="B36" s="2" t="s">
        <v>158</v>
      </c>
      <c r="C36" s="25" t="s">
        <v>92</v>
      </c>
      <c r="Q36" s="2"/>
      <c r="R36" s="2"/>
    </row>
    <row r="37" spans="1:19" x14ac:dyDescent="0.2">
      <c r="B37" s="8"/>
      <c r="C37" s="25"/>
      <c r="Q37" s="2"/>
      <c r="S37" s="1"/>
    </row>
    <row r="38" spans="1:19" s="9" customFormat="1" ht="51" x14ac:dyDescent="0.2">
      <c r="A38" s="9" t="s">
        <v>15</v>
      </c>
      <c r="B38" s="9" t="s">
        <v>10</v>
      </c>
      <c r="C38" s="30" t="s">
        <v>11</v>
      </c>
      <c r="D38" s="17" t="s">
        <v>12</v>
      </c>
      <c r="E38" s="1" t="s">
        <v>27</v>
      </c>
      <c r="F38" s="29" t="s">
        <v>133</v>
      </c>
      <c r="G38" s="22" t="s">
        <v>135</v>
      </c>
      <c r="H38" s="29" t="s">
        <v>136</v>
      </c>
      <c r="I38" s="29" t="s">
        <v>137</v>
      </c>
      <c r="J38" s="29" t="s">
        <v>139</v>
      </c>
      <c r="K38" s="29" t="s">
        <v>140</v>
      </c>
      <c r="L38" s="29" t="s">
        <v>141</v>
      </c>
      <c r="M38" s="29" t="s">
        <v>142</v>
      </c>
      <c r="N38" s="30" t="s">
        <v>143</v>
      </c>
      <c r="O38" s="30" t="s">
        <v>145</v>
      </c>
      <c r="P38" s="30" t="s">
        <v>146</v>
      </c>
      <c r="Q38" s="30" t="s">
        <v>147</v>
      </c>
      <c r="R38" s="30" t="s">
        <v>148</v>
      </c>
      <c r="S38" s="30" t="s">
        <v>25</v>
      </c>
    </row>
    <row r="39" spans="1:19" s="12" customFormat="1" ht="26.25" x14ac:dyDescent="0.25">
      <c r="A39" s="10" t="s">
        <v>21</v>
      </c>
      <c r="B39" s="11" t="s">
        <v>56</v>
      </c>
      <c r="C39" s="18" t="s">
        <v>13</v>
      </c>
      <c r="D39" s="18" t="s">
        <v>13</v>
      </c>
      <c r="E39" s="18" t="s">
        <v>28</v>
      </c>
      <c r="F39" s="19" t="s">
        <v>85</v>
      </c>
      <c r="G39" s="19" t="s">
        <v>26</v>
      </c>
      <c r="H39" s="19" t="s">
        <v>18</v>
      </c>
      <c r="I39" s="19" t="s">
        <v>20</v>
      </c>
      <c r="J39" s="19"/>
      <c r="K39" s="19" t="s">
        <v>37</v>
      </c>
      <c r="L39" s="19"/>
      <c r="M39" s="19"/>
      <c r="N39" s="18" t="s">
        <v>59</v>
      </c>
      <c r="O39" s="18" t="s">
        <v>22</v>
      </c>
      <c r="P39" s="18" t="s">
        <v>22</v>
      </c>
      <c r="Q39" s="18" t="s">
        <v>23</v>
      </c>
      <c r="R39" s="18" t="s">
        <v>23</v>
      </c>
      <c r="S39" s="18"/>
    </row>
    <row r="40" spans="1:19" ht="14.25" x14ac:dyDescent="0.25">
      <c r="A40" s="10"/>
      <c r="B40" s="56" t="s">
        <v>107</v>
      </c>
      <c r="C40" s="70">
        <v>5</v>
      </c>
      <c r="D40" s="70">
        <f>IF(A40="//","0",0)</f>
        <v>0</v>
      </c>
      <c r="E40" s="55" t="s">
        <v>104</v>
      </c>
      <c r="F40" s="70" t="s">
        <v>68</v>
      </c>
      <c r="G40" s="71" t="s">
        <v>24</v>
      </c>
      <c r="H40" s="72">
        <v>0.85</v>
      </c>
      <c r="I40" s="73">
        <v>0</v>
      </c>
      <c r="J40" s="74">
        <v>0</v>
      </c>
      <c r="K40" s="73">
        <v>1</v>
      </c>
      <c r="L40" s="73">
        <v>2</v>
      </c>
      <c r="M40" s="73">
        <v>1.8</v>
      </c>
      <c r="N40" s="70">
        <v>95</v>
      </c>
      <c r="O40" s="70">
        <v>26</v>
      </c>
      <c r="P40" s="70">
        <v>26</v>
      </c>
      <c r="Q40" s="70">
        <v>150</v>
      </c>
      <c r="R40" s="70">
        <v>150</v>
      </c>
      <c r="S40" s="70">
        <v>10</v>
      </c>
    </row>
    <row r="41" spans="1:19" ht="13.5" x14ac:dyDescent="0.25">
      <c r="A41" s="333" t="s">
        <v>21</v>
      </c>
      <c r="B41" s="56" t="s">
        <v>67</v>
      </c>
      <c r="C41" s="70">
        <v>90</v>
      </c>
      <c r="D41" s="70" t="str">
        <f>IF(A41="//","0",0)</f>
        <v>0</v>
      </c>
      <c r="E41" s="91" t="s">
        <v>63</v>
      </c>
      <c r="F41" s="70" t="s">
        <v>68</v>
      </c>
      <c r="G41" s="71" t="s">
        <v>14</v>
      </c>
      <c r="H41" s="72">
        <v>1.1000000000000001</v>
      </c>
      <c r="I41" s="73">
        <v>0</v>
      </c>
      <c r="J41" s="74">
        <v>0</v>
      </c>
      <c r="K41" s="73">
        <v>0.2</v>
      </c>
      <c r="L41" s="73">
        <v>2</v>
      </c>
      <c r="M41" s="73">
        <v>1.8</v>
      </c>
      <c r="N41" s="70">
        <v>95</v>
      </c>
      <c r="O41" s="70">
        <v>26</v>
      </c>
      <c r="P41" s="70">
        <v>26</v>
      </c>
      <c r="Q41" s="70">
        <v>150</v>
      </c>
      <c r="R41" s="70">
        <v>150</v>
      </c>
      <c r="S41" s="70">
        <v>10</v>
      </c>
    </row>
    <row r="42" spans="1:19" ht="13.5" x14ac:dyDescent="0.25">
      <c r="A42" s="333" t="s">
        <v>21</v>
      </c>
      <c r="B42" s="75" t="str">
        <f>"SS-Dry-FCPM - "&amp;FIXED(I42,2)&amp;" A/cm²"</f>
        <v>SS-Dry-FCPM - 0.05 A/cm²</v>
      </c>
      <c r="C42" s="70">
        <v>5</v>
      </c>
      <c r="D42" s="70">
        <v>5</v>
      </c>
      <c r="E42" s="61" t="s">
        <v>47</v>
      </c>
      <c r="F42" s="70" t="s">
        <v>69</v>
      </c>
      <c r="G42" s="71" t="s">
        <v>24</v>
      </c>
      <c r="H42" s="72">
        <v>1.1000000000000001</v>
      </c>
      <c r="I42" s="73">
        <v>0.05</v>
      </c>
      <c r="J42" s="74"/>
      <c r="K42" s="73"/>
      <c r="L42" s="73"/>
      <c r="M42" s="73"/>
      <c r="N42" s="70"/>
      <c r="O42" s="70"/>
      <c r="P42" s="70"/>
      <c r="Q42" s="70"/>
      <c r="R42" s="70"/>
      <c r="S42" s="70"/>
    </row>
    <row r="43" spans="1:19" ht="13.5" x14ac:dyDescent="0.25">
      <c r="A43" s="333"/>
      <c r="B43" s="75" t="str">
        <f t="shared" ref="B43:B48" si="0">"SS-Dry-FCPM - "&amp;FIXED(I43,2)&amp;" A/cm²"</f>
        <v>SS-Dry-FCPM - 0.20 A/cm²</v>
      </c>
      <c r="C43" s="70">
        <v>5</v>
      </c>
      <c r="D43" s="70">
        <v>5</v>
      </c>
      <c r="E43" s="61" t="s">
        <v>47</v>
      </c>
      <c r="F43" s="70" t="s">
        <v>69</v>
      </c>
      <c r="G43" s="71"/>
      <c r="H43" s="72"/>
      <c r="I43" s="73">
        <v>0.2</v>
      </c>
      <c r="J43" s="74"/>
      <c r="K43" s="73"/>
      <c r="L43" s="73"/>
      <c r="M43" s="73"/>
      <c r="N43" s="70"/>
      <c r="O43" s="70"/>
      <c r="P43" s="70"/>
      <c r="Q43" s="70"/>
      <c r="R43" s="70"/>
      <c r="S43" s="70"/>
    </row>
    <row r="44" spans="1:19" ht="13.5" x14ac:dyDescent="0.25">
      <c r="A44" s="333"/>
      <c r="B44" s="75" t="str">
        <f>"SS-Dry-FCPM - "&amp;FIXED(I44,2)&amp;" A/cm² - Transition"</f>
        <v>SS-Dry-FCPM - 0.40 A/cm² - Transition</v>
      </c>
      <c r="C44" s="70">
        <v>15</v>
      </c>
      <c r="D44" s="70">
        <v>5</v>
      </c>
      <c r="E44" s="70"/>
      <c r="F44" s="70" t="s">
        <v>69</v>
      </c>
      <c r="G44" s="71"/>
      <c r="H44" s="72"/>
      <c r="I44" s="73">
        <v>0.4</v>
      </c>
      <c r="J44" s="74"/>
      <c r="K44" s="73">
        <v>0.4</v>
      </c>
      <c r="L44" s="73"/>
      <c r="M44" s="73"/>
      <c r="N44" s="70"/>
      <c r="O44" s="70"/>
      <c r="P44" s="70"/>
      <c r="Q44" s="70"/>
      <c r="R44" s="70"/>
      <c r="S44" s="70"/>
    </row>
    <row r="45" spans="1:19" ht="13.5" x14ac:dyDescent="0.25">
      <c r="A45" s="333"/>
      <c r="B45" s="75" t="str">
        <f t="shared" si="0"/>
        <v>SS-Dry-FCPM - 0.80 A/cm²</v>
      </c>
      <c r="C45" s="70">
        <v>5</v>
      </c>
      <c r="D45" s="70">
        <v>5</v>
      </c>
      <c r="E45" s="61" t="s">
        <v>47</v>
      </c>
      <c r="F45" s="70" t="s">
        <v>69</v>
      </c>
      <c r="G45" s="71"/>
      <c r="H45" s="72"/>
      <c r="I45" s="73">
        <v>0.8</v>
      </c>
      <c r="J45" s="74"/>
      <c r="K45" s="73">
        <v>0.8</v>
      </c>
      <c r="L45" s="73"/>
      <c r="M45" s="73"/>
      <c r="N45" s="70"/>
      <c r="O45" s="70"/>
      <c r="P45" s="70"/>
      <c r="Q45" s="70"/>
      <c r="R45" s="70"/>
      <c r="S45" s="70"/>
    </row>
    <row r="46" spans="1:19" ht="13.5" x14ac:dyDescent="0.25">
      <c r="A46" s="333"/>
      <c r="B46" s="75" t="str">
        <f>"SS-Dry-FCPM - "&amp;FIXED(I46,2)&amp;" A/cm² - Transition"</f>
        <v>SS-Dry-FCPM - 1.00 A/cm² - Transition</v>
      </c>
      <c r="C46" s="70">
        <v>15</v>
      </c>
      <c r="D46" s="70">
        <v>5</v>
      </c>
      <c r="E46" s="70"/>
      <c r="F46" s="70" t="s">
        <v>69</v>
      </c>
      <c r="G46" s="71"/>
      <c r="H46" s="72"/>
      <c r="I46" s="73">
        <v>1</v>
      </c>
      <c r="J46" s="74"/>
      <c r="K46" s="73">
        <v>1</v>
      </c>
      <c r="L46" s="73"/>
      <c r="M46" s="73"/>
      <c r="N46" s="70"/>
      <c r="O46" s="70"/>
      <c r="P46" s="70"/>
      <c r="Q46" s="70"/>
      <c r="R46" s="70"/>
      <c r="S46" s="70"/>
    </row>
    <row r="47" spans="1:19" ht="13.5" x14ac:dyDescent="0.25">
      <c r="A47" s="333"/>
      <c r="B47" s="75" t="str">
        <f>"SS-Dry-FCPM - "&amp;FIXED(I47,2)&amp;" A/cm² - Transition"</f>
        <v>SS-Dry-FCPM - 1.20 A/cm² - Transition</v>
      </c>
      <c r="C47" s="70">
        <v>15</v>
      </c>
      <c r="D47" s="70">
        <v>5</v>
      </c>
      <c r="E47" s="70"/>
      <c r="F47" s="70" t="s">
        <v>69</v>
      </c>
      <c r="G47" s="71"/>
      <c r="H47" s="72"/>
      <c r="I47" s="73">
        <v>1.2</v>
      </c>
      <c r="J47" s="74"/>
      <c r="K47" s="73">
        <v>1.2</v>
      </c>
      <c r="L47" s="73"/>
      <c r="M47" s="73"/>
      <c r="N47" s="70"/>
      <c r="O47" s="70"/>
      <c r="P47" s="70"/>
      <c r="Q47" s="70"/>
      <c r="R47" s="70"/>
      <c r="S47" s="70"/>
    </row>
    <row r="48" spans="1:19" ht="13.5" x14ac:dyDescent="0.25">
      <c r="A48" s="333"/>
      <c r="B48" s="75" t="str">
        <f t="shared" si="0"/>
        <v>SS-Dry-FCPM - 1.50 A/cm²</v>
      </c>
      <c r="C48" s="70">
        <v>5</v>
      </c>
      <c r="D48" s="70">
        <v>5</v>
      </c>
      <c r="E48" s="61" t="s">
        <v>47</v>
      </c>
      <c r="F48" s="70" t="s">
        <v>69</v>
      </c>
      <c r="G48" s="71"/>
      <c r="H48" s="72"/>
      <c r="I48" s="73">
        <v>1.5</v>
      </c>
      <c r="J48" s="74"/>
      <c r="K48" s="73">
        <v>1.5</v>
      </c>
      <c r="L48" s="73"/>
      <c r="M48" s="73"/>
      <c r="N48" s="70"/>
      <c r="O48" s="70"/>
      <c r="P48" s="70"/>
      <c r="Q48" s="70"/>
      <c r="R48" s="70"/>
      <c r="S48" s="70"/>
    </row>
    <row r="49" spans="1:13" x14ac:dyDescent="0.2">
      <c r="F49" s="13"/>
      <c r="G49" s="13"/>
      <c r="H49" s="14"/>
      <c r="I49" s="14"/>
      <c r="J49" s="2"/>
      <c r="K49" s="2"/>
      <c r="L49" s="2"/>
      <c r="M49" s="2"/>
    </row>
    <row r="50" spans="1:13" x14ac:dyDescent="0.2">
      <c r="A50" s="4" t="s">
        <v>30</v>
      </c>
      <c r="B50" s="52" t="s">
        <v>31</v>
      </c>
      <c r="C50" s="69" t="s">
        <v>104</v>
      </c>
    </row>
    <row r="51" spans="1:13" x14ac:dyDescent="0.2">
      <c r="B51" s="53" t="s">
        <v>8</v>
      </c>
      <c r="C51" s="53" t="s">
        <v>96</v>
      </c>
    </row>
    <row r="52" spans="1:13" x14ac:dyDescent="0.2">
      <c r="B52" s="53" t="s">
        <v>45</v>
      </c>
      <c r="C52" s="53" t="s">
        <v>33</v>
      </c>
    </row>
    <row r="53" spans="1:13" x14ac:dyDescent="0.2">
      <c r="B53" s="53" t="s">
        <v>17</v>
      </c>
      <c r="C53" s="53">
        <v>1800</v>
      </c>
    </row>
    <row r="54" spans="1:13" x14ac:dyDescent="0.2">
      <c r="B54" s="53" t="s">
        <v>34</v>
      </c>
      <c r="C54" s="53" t="s">
        <v>97</v>
      </c>
    </row>
    <row r="55" spans="1:13" x14ac:dyDescent="0.2">
      <c r="B55" s="53" t="s">
        <v>98</v>
      </c>
      <c r="C55" s="54" t="s">
        <v>161</v>
      </c>
    </row>
    <row r="56" spans="1:13" x14ac:dyDescent="0.2">
      <c r="B56" s="53" t="s">
        <v>99</v>
      </c>
      <c r="C56" s="54" t="s">
        <v>144</v>
      </c>
    </row>
    <row r="57" spans="1:13" x14ac:dyDescent="0.2">
      <c r="B57" s="53" t="s">
        <v>100</v>
      </c>
      <c r="C57" s="53">
        <v>0.2</v>
      </c>
    </row>
    <row r="58" spans="1:13" x14ac:dyDescent="0.2">
      <c r="B58" s="53" t="s">
        <v>101</v>
      </c>
      <c r="C58" s="53">
        <v>60</v>
      </c>
    </row>
    <row r="59" spans="1:13" x14ac:dyDescent="0.2">
      <c r="B59" s="53" t="s">
        <v>34</v>
      </c>
      <c r="C59" s="53" t="s">
        <v>97</v>
      </c>
    </row>
    <row r="60" spans="1:13" x14ac:dyDescent="0.2">
      <c r="B60" s="53" t="s">
        <v>98</v>
      </c>
      <c r="C60" s="54" t="s">
        <v>162</v>
      </c>
    </row>
    <row r="61" spans="1:13" x14ac:dyDescent="0.2">
      <c r="B61" s="53" t="s">
        <v>99</v>
      </c>
      <c r="C61" s="54" t="s">
        <v>159</v>
      </c>
    </row>
    <row r="62" spans="1:13" x14ac:dyDescent="0.2">
      <c r="B62" s="53" t="s">
        <v>100</v>
      </c>
      <c r="C62" s="53">
        <v>0.2</v>
      </c>
    </row>
    <row r="63" spans="1:13" x14ac:dyDescent="0.2">
      <c r="B63" s="53" t="s">
        <v>101</v>
      </c>
      <c r="C63" s="53">
        <v>60</v>
      </c>
    </row>
    <row r="64" spans="1:13" x14ac:dyDescent="0.2">
      <c r="B64" s="53" t="s">
        <v>34</v>
      </c>
      <c r="C64" s="53" t="s">
        <v>97</v>
      </c>
    </row>
    <row r="65" spans="1:18" x14ac:dyDescent="0.2">
      <c r="B65" s="53" t="s">
        <v>98</v>
      </c>
      <c r="C65" s="54" t="s">
        <v>163</v>
      </c>
    </row>
    <row r="66" spans="1:18" x14ac:dyDescent="0.2">
      <c r="B66" s="53" t="s">
        <v>99</v>
      </c>
      <c r="C66" s="54" t="s">
        <v>160</v>
      </c>
    </row>
    <row r="67" spans="1:18" x14ac:dyDescent="0.2">
      <c r="B67" s="53" t="s">
        <v>100</v>
      </c>
      <c r="C67" s="53">
        <v>0.2</v>
      </c>
    </row>
    <row r="68" spans="1:18" x14ac:dyDescent="0.2">
      <c r="B68" s="53" t="s">
        <v>101</v>
      </c>
      <c r="C68" s="53">
        <v>60</v>
      </c>
    </row>
    <row r="70" spans="1:18" x14ac:dyDescent="0.2">
      <c r="A70" s="4" t="s">
        <v>30</v>
      </c>
      <c r="B70" s="92" t="s">
        <v>31</v>
      </c>
      <c r="C70" s="104" t="s">
        <v>63</v>
      </c>
      <c r="F70" s="2"/>
      <c r="G70" s="2"/>
      <c r="H70" s="2"/>
      <c r="I70" s="2"/>
      <c r="J70" s="2"/>
      <c r="K70" s="2"/>
      <c r="L70" s="2"/>
      <c r="M70" s="2"/>
    </row>
    <row r="71" spans="1:18" x14ac:dyDescent="0.2">
      <c r="B71" s="92"/>
      <c r="C71" s="104"/>
      <c r="F71" s="2"/>
      <c r="G71" s="2"/>
      <c r="H71" s="2"/>
      <c r="I71" s="2"/>
      <c r="J71" s="2"/>
      <c r="K71" s="2"/>
      <c r="L71" s="2"/>
      <c r="M71" s="2"/>
    </row>
    <row r="72" spans="1:18" x14ac:dyDescent="0.2">
      <c r="A72" s="2"/>
      <c r="B72" s="104" t="s">
        <v>8</v>
      </c>
      <c r="C72" s="105" t="s">
        <v>9</v>
      </c>
      <c r="F72" s="2"/>
      <c r="G72" s="2"/>
      <c r="H72" s="2"/>
      <c r="I72" s="2"/>
      <c r="J72" s="2"/>
      <c r="K72" s="2"/>
      <c r="L72" s="2"/>
      <c r="M72" s="2"/>
    </row>
    <row r="73" spans="1:18" x14ac:dyDescent="0.2">
      <c r="A73" s="2"/>
      <c r="B73" s="104" t="s">
        <v>17</v>
      </c>
      <c r="C73" s="105">
        <v>60</v>
      </c>
      <c r="F73" s="2"/>
      <c r="G73" s="2"/>
      <c r="H73" s="2"/>
      <c r="I73" s="2"/>
      <c r="J73" s="2"/>
      <c r="K73" s="2"/>
      <c r="L73" s="2"/>
      <c r="M73" s="2"/>
    </row>
    <row r="74" spans="1:18" x14ac:dyDescent="0.2">
      <c r="B74" s="106" t="s">
        <v>25</v>
      </c>
      <c r="C74" s="105">
        <v>1</v>
      </c>
      <c r="F74" s="2"/>
      <c r="G74" s="2"/>
      <c r="H74" s="2"/>
      <c r="I74" s="2"/>
      <c r="J74" s="2"/>
      <c r="K74" s="2"/>
      <c r="L74" s="2"/>
      <c r="M74" s="2"/>
    </row>
    <row r="75" spans="1:18" x14ac:dyDescent="0.2">
      <c r="A75" s="2"/>
      <c r="B75" s="106" t="s">
        <v>195</v>
      </c>
      <c r="C75" s="105">
        <v>1</v>
      </c>
      <c r="F75" s="2"/>
      <c r="G75" s="2"/>
      <c r="H75" s="2"/>
      <c r="I75" s="2"/>
      <c r="J75" s="2"/>
      <c r="K75" s="2"/>
      <c r="L75" s="2"/>
      <c r="M75" s="2"/>
    </row>
    <row r="76" spans="1:18" x14ac:dyDescent="0.2">
      <c r="A76" s="2"/>
      <c r="B76" s="104"/>
      <c r="C76" s="104"/>
      <c r="F76" s="2"/>
      <c r="G76" s="2"/>
      <c r="H76" s="2"/>
      <c r="I76" s="2"/>
      <c r="J76" s="2"/>
      <c r="K76" s="2"/>
      <c r="L76" s="2"/>
      <c r="M76" s="2"/>
    </row>
    <row r="77" spans="1:18" x14ac:dyDescent="0.2">
      <c r="A77" s="2"/>
      <c r="B77" s="104" t="s">
        <v>8</v>
      </c>
      <c r="C77" s="105" t="s">
        <v>9</v>
      </c>
      <c r="F77" s="2"/>
      <c r="G77" s="2"/>
      <c r="H77" s="2"/>
      <c r="I77" s="2"/>
      <c r="J77" s="2"/>
      <c r="K77" s="2"/>
      <c r="L77" s="2"/>
      <c r="M77" s="2"/>
    </row>
    <row r="78" spans="1:18" x14ac:dyDescent="0.2">
      <c r="A78" s="2"/>
      <c r="B78" s="104" t="s">
        <v>17</v>
      </c>
      <c r="C78" s="105">
        <v>1</v>
      </c>
      <c r="F78" s="2"/>
      <c r="G78" s="2"/>
      <c r="H78" s="2"/>
      <c r="I78" s="2"/>
      <c r="J78" s="2"/>
      <c r="K78" s="2"/>
      <c r="L78" s="2"/>
      <c r="M78" s="2"/>
    </row>
    <row r="79" spans="1:18" x14ac:dyDescent="0.2">
      <c r="A79" s="2"/>
      <c r="B79" s="106" t="s">
        <v>194</v>
      </c>
      <c r="C79" s="107" t="s">
        <v>92</v>
      </c>
      <c r="F79" s="2"/>
      <c r="G79" s="2"/>
      <c r="H79" s="2"/>
      <c r="I79" s="2"/>
      <c r="J79" s="2"/>
      <c r="K79" s="2"/>
      <c r="L79" s="2"/>
      <c r="M79" s="2"/>
    </row>
    <row r="80" spans="1:18" x14ac:dyDescent="0.2">
      <c r="N80" s="6"/>
      <c r="O80" s="6"/>
      <c r="P80" s="6"/>
      <c r="Q80" s="2"/>
      <c r="R80" s="2"/>
    </row>
    <row r="81" spans="1:18" x14ac:dyDescent="0.2">
      <c r="A81" s="5" t="s">
        <v>30</v>
      </c>
      <c r="B81" s="57" t="s">
        <v>31</v>
      </c>
      <c r="C81" s="58" t="s">
        <v>47</v>
      </c>
      <c r="D81" s="6"/>
      <c r="E81" s="6"/>
      <c r="F81" s="2"/>
      <c r="G81" s="2"/>
      <c r="H81" s="2"/>
      <c r="I81" s="2"/>
      <c r="J81" s="2"/>
      <c r="K81" s="2"/>
      <c r="L81" s="2"/>
      <c r="M81" s="2"/>
      <c r="Q81" s="2"/>
      <c r="R81" s="2"/>
    </row>
    <row r="82" spans="1:18" x14ac:dyDescent="0.2">
      <c r="A82" s="5"/>
      <c r="B82" s="58" t="s">
        <v>8</v>
      </c>
      <c r="C82" s="58" t="s">
        <v>32</v>
      </c>
      <c r="D82" s="6"/>
      <c r="E82" s="6"/>
      <c r="F82" s="2"/>
      <c r="G82" s="2"/>
      <c r="H82" s="2"/>
      <c r="I82" s="2"/>
      <c r="J82" s="2"/>
      <c r="K82" s="2"/>
      <c r="L82" s="2"/>
      <c r="M82" s="2"/>
      <c r="Q82" s="2"/>
      <c r="R82" s="2"/>
    </row>
    <row r="83" spans="1:18" x14ac:dyDescent="0.2">
      <c r="A83" s="5"/>
      <c r="B83" s="58" t="s">
        <v>45</v>
      </c>
      <c r="C83" s="58" t="s">
        <v>46</v>
      </c>
      <c r="D83" s="6"/>
      <c r="E83" s="6"/>
      <c r="F83" s="2"/>
      <c r="G83" s="2"/>
      <c r="H83" s="2"/>
      <c r="I83" s="2"/>
      <c r="J83" s="2"/>
      <c r="K83" s="2"/>
      <c r="L83" s="2"/>
      <c r="M83" s="2"/>
      <c r="Q83" s="2"/>
      <c r="R83" s="2"/>
    </row>
    <row r="84" spans="1:18" x14ac:dyDescent="0.2">
      <c r="A84" s="5"/>
      <c r="B84" s="58" t="s">
        <v>17</v>
      </c>
      <c r="C84" s="58">
        <f>LEFT(D84,3)*1</f>
        <v>180</v>
      </c>
      <c r="D84" s="16" t="s">
        <v>55</v>
      </c>
      <c r="E84" s="6"/>
      <c r="F84" s="2"/>
      <c r="G84" s="2"/>
      <c r="H84" s="2"/>
      <c r="I84" s="2"/>
      <c r="J84" s="2"/>
      <c r="K84" s="2"/>
      <c r="L84" s="2"/>
      <c r="M84" s="2"/>
      <c r="Q84" s="2"/>
      <c r="R84" s="2"/>
    </row>
    <row r="85" spans="1:18" x14ac:dyDescent="0.2">
      <c r="A85" s="5"/>
      <c r="B85" s="58" t="s">
        <v>34</v>
      </c>
      <c r="C85" s="58" t="s">
        <v>41</v>
      </c>
      <c r="D85" s="6"/>
      <c r="E85" s="6"/>
      <c r="F85" s="2"/>
      <c r="G85" s="2"/>
      <c r="H85" s="2"/>
      <c r="I85" s="2"/>
      <c r="J85" s="2"/>
      <c r="K85" s="2"/>
      <c r="L85" s="2"/>
      <c r="M85" s="2"/>
      <c r="Q85" s="2"/>
      <c r="R85" s="2"/>
    </row>
    <row r="86" spans="1:18" x14ac:dyDescent="0.2">
      <c r="A86" s="5"/>
      <c r="B86" s="58" t="s">
        <v>164</v>
      </c>
      <c r="C86" s="59">
        <v>0.2</v>
      </c>
      <c r="D86" s="6"/>
      <c r="E86" s="6"/>
      <c r="F86" s="2"/>
      <c r="G86" s="2"/>
      <c r="H86" s="2"/>
      <c r="I86" s="2"/>
      <c r="J86" s="2"/>
      <c r="K86" s="2"/>
      <c r="L86" s="2"/>
      <c r="M86" s="2"/>
      <c r="Q86" s="2"/>
      <c r="R86" s="2"/>
    </row>
    <row r="87" spans="1:18" x14ac:dyDescent="0.2">
      <c r="A87" s="5"/>
      <c r="B87" s="58" t="s">
        <v>34</v>
      </c>
      <c r="C87" s="58" t="s">
        <v>42</v>
      </c>
      <c r="D87" s="6"/>
      <c r="E87" s="6"/>
      <c r="F87" s="2"/>
      <c r="G87" s="2"/>
      <c r="H87" s="2"/>
      <c r="I87" s="2"/>
      <c r="J87" s="2"/>
      <c r="K87" s="2"/>
      <c r="L87" s="2"/>
      <c r="M87" s="2"/>
      <c r="Q87" s="2"/>
      <c r="R87" s="2"/>
    </row>
    <row r="88" spans="1:18" x14ac:dyDescent="0.2">
      <c r="A88" s="5"/>
      <c r="B88" s="58" t="s">
        <v>135</v>
      </c>
      <c r="C88" s="60" t="s">
        <v>14</v>
      </c>
      <c r="D88" s="6"/>
      <c r="E88" s="6"/>
      <c r="F88" s="2"/>
      <c r="G88" s="2"/>
      <c r="H88" s="2"/>
      <c r="I88" s="2"/>
      <c r="J88" s="2"/>
      <c r="K88" s="2"/>
      <c r="L88" s="2"/>
      <c r="M88" s="2"/>
      <c r="Q88" s="2"/>
      <c r="R88" s="2"/>
    </row>
    <row r="89" spans="1:18" x14ac:dyDescent="0.2">
      <c r="A89" s="5"/>
      <c r="B89" s="57"/>
      <c r="C89" s="58"/>
      <c r="D89" s="6"/>
      <c r="E89" s="6"/>
      <c r="F89" s="2"/>
      <c r="G89" s="2"/>
      <c r="H89" s="2"/>
      <c r="I89" s="2"/>
      <c r="J89" s="2"/>
      <c r="K89" s="2"/>
      <c r="L89" s="2"/>
      <c r="M89" s="2"/>
      <c r="Q89" s="2"/>
      <c r="R89" s="2"/>
    </row>
    <row r="90" spans="1:18" x14ac:dyDescent="0.2">
      <c r="A90" s="5"/>
      <c r="B90" s="58" t="s">
        <v>8</v>
      </c>
      <c r="C90" s="58" t="s">
        <v>9</v>
      </c>
      <c r="D90" s="16" t="s">
        <v>196</v>
      </c>
      <c r="E90" s="6"/>
      <c r="F90" s="2"/>
      <c r="G90" s="2"/>
      <c r="H90" s="2"/>
      <c r="I90" s="2"/>
      <c r="J90" s="2"/>
      <c r="K90" s="2"/>
      <c r="L90" s="2"/>
      <c r="M90" s="2"/>
      <c r="Q90" s="2"/>
      <c r="R90" s="2"/>
    </row>
    <row r="91" spans="1:18" x14ac:dyDescent="0.2">
      <c r="A91" s="5"/>
      <c r="B91" s="58" t="s">
        <v>17</v>
      </c>
      <c r="C91" s="58">
        <v>2</v>
      </c>
      <c r="D91" s="16"/>
      <c r="E91" s="6"/>
      <c r="F91" s="2"/>
      <c r="G91" s="2"/>
      <c r="H91" s="2"/>
      <c r="I91" s="2"/>
      <c r="J91" s="2"/>
      <c r="K91" s="2"/>
      <c r="L91" s="2"/>
      <c r="M91" s="2"/>
      <c r="Q91" s="2"/>
      <c r="R91" s="2"/>
    </row>
    <row r="92" spans="1:18" x14ac:dyDescent="0.2">
      <c r="A92" s="5" t="s">
        <v>21</v>
      </c>
      <c r="B92" s="58" t="s">
        <v>190</v>
      </c>
      <c r="C92" s="58">
        <v>1</v>
      </c>
      <c r="D92" s="16" t="s">
        <v>199</v>
      </c>
      <c r="E92" s="6"/>
      <c r="F92" s="2"/>
      <c r="G92" s="2"/>
      <c r="H92" s="2"/>
      <c r="I92" s="2"/>
      <c r="J92" s="2"/>
      <c r="K92" s="2"/>
      <c r="L92" s="2"/>
      <c r="M92" s="2"/>
      <c r="Q92" s="2"/>
      <c r="R92" s="2"/>
    </row>
    <row r="93" spans="1:18" x14ac:dyDescent="0.2">
      <c r="A93" s="5"/>
      <c r="B93" s="58" t="s">
        <v>25</v>
      </c>
      <c r="C93" s="58">
        <v>1</v>
      </c>
      <c r="D93" s="6"/>
      <c r="E93" s="6"/>
      <c r="F93" s="2"/>
      <c r="G93" s="2"/>
      <c r="H93" s="2"/>
      <c r="I93" s="2"/>
      <c r="J93" s="2"/>
      <c r="K93" s="2"/>
      <c r="L93" s="2"/>
      <c r="M93" s="2"/>
      <c r="Q93" s="2"/>
      <c r="R93" s="2"/>
    </row>
    <row r="94" spans="1:18" x14ac:dyDescent="0.2">
      <c r="A94" s="5"/>
      <c r="B94" s="58" t="s">
        <v>195</v>
      </c>
      <c r="C94" s="58">
        <v>1</v>
      </c>
      <c r="D94" s="6"/>
      <c r="E94" s="6"/>
      <c r="F94" s="2"/>
      <c r="G94" s="2"/>
      <c r="H94" s="2"/>
      <c r="I94" s="2"/>
      <c r="J94" s="2"/>
      <c r="K94" s="2"/>
      <c r="L94" s="2"/>
      <c r="M94" s="2"/>
      <c r="Q94" s="2"/>
      <c r="R94" s="2"/>
    </row>
    <row r="95" spans="1:18" x14ac:dyDescent="0.2">
      <c r="A95" s="5"/>
      <c r="B95" s="58"/>
      <c r="C95" s="58"/>
      <c r="D95" s="6"/>
      <c r="E95" s="6"/>
      <c r="F95" s="2"/>
      <c r="G95" s="2"/>
      <c r="H95" s="2"/>
      <c r="I95" s="2"/>
      <c r="J95" s="2"/>
      <c r="K95" s="2"/>
      <c r="L95" s="2"/>
      <c r="M95" s="2"/>
      <c r="Q95" s="2"/>
      <c r="R95" s="2"/>
    </row>
    <row r="96" spans="1:18" x14ac:dyDescent="0.2">
      <c r="A96" s="5"/>
      <c r="B96" s="58" t="s">
        <v>8</v>
      </c>
      <c r="C96" s="58" t="s">
        <v>32</v>
      </c>
      <c r="D96" s="16" t="str">
        <f>"If " &amp; C98 &amp; " seconds pass, OR Voltage &lt;" &amp; C100 &amp; " Volts, OR LB_ENBL is OFF go to next 'Step Type'"</f>
        <v>If 60 seconds pass, OR Voltage &lt;0.2 Volts, OR LB_ENBL is OFF go to next 'Step Type'</v>
      </c>
      <c r="E96" s="6"/>
      <c r="F96" s="2"/>
      <c r="G96" s="2"/>
      <c r="H96" s="2"/>
      <c r="I96" s="2"/>
      <c r="J96" s="2"/>
      <c r="K96" s="2"/>
      <c r="L96" s="2"/>
      <c r="M96" s="2"/>
      <c r="Q96" s="2"/>
      <c r="R96" s="2"/>
    </row>
    <row r="97" spans="1:18" x14ac:dyDescent="0.2">
      <c r="A97" s="5"/>
      <c r="B97" s="58" t="s">
        <v>45</v>
      </c>
      <c r="C97" s="58" t="s">
        <v>46</v>
      </c>
      <c r="D97" s="6"/>
      <c r="E97" s="6"/>
      <c r="F97" s="2"/>
      <c r="G97" s="2"/>
      <c r="H97" s="2"/>
      <c r="I97" s="2"/>
      <c r="J97" s="2"/>
      <c r="K97" s="2"/>
      <c r="L97" s="2"/>
      <c r="M97" s="2"/>
      <c r="Q97" s="2"/>
      <c r="R97" s="2"/>
    </row>
    <row r="98" spans="1:18" x14ac:dyDescent="0.2">
      <c r="A98" s="5"/>
      <c r="B98" s="58" t="s">
        <v>17</v>
      </c>
      <c r="C98" s="58">
        <v>60</v>
      </c>
      <c r="D98" s="6"/>
      <c r="E98" s="6"/>
      <c r="F98" s="2"/>
      <c r="G98" s="2"/>
      <c r="H98" s="2"/>
      <c r="I98" s="2"/>
      <c r="J98" s="2"/>
      <c r="K98" s="2"/>
      <c r="L98" s="2"/>
      <c r="M98" s="2"/>
      <c r="Q98" s="2"/>
      <c r="R98" s="2"/>
    </row>
    <row r="99" spans="1:18" x14ac:dyDescent="0.2">
      <c r="A99" s="5"/>
      <c r="B99" s="58" t="s">
        <v>34</v>
      </c>
      <c r="C99" s="58" t="s">
        <v>41</v>
      </c>
      <c r="D99" s="6"/>
      <c r="E99" s="6"/>
      <c r="F99" s="2"/>
      <c r="G99" s="2"/>
      <c r="H99" s="2"/>
      <c r="I99" s="2"/>
      <c r="J99" s="2"/>
      <c r="K99" s="2"/>
      <c r="L99" s="2"/>
      <c r="M99" s="2"/>
      <c r="Q99" s="2"/>
      <c r="R99" s="2"/>
    </row>
    <row r="100" spans="1:18" x14ac:dyDescent="0.2">
      <c r="A100" s="5"/>
      <c r="B100" s="58" t="s">
        <v>164</v>
      </c>
      <c r="C100" s="59">
        <v>0.2</v>
      </c>
      <c r="D100" s="16" t="s">
        <v>198</v>
      </c>
      <c r="E100" s="6"/>
      <c r="F100" s="2"/>
      <c r="G100" s="2"/>
      <c r="H100" s="2"/>
      <c r="I100" s="2"/>
      <c r="J100" s="2"/>
      <c r="K100" s="2"/>
      <c r="L100" s="2"/>
      <c r="M100" s="2"/>
      <c r="Q100" s="2"/>
      <c r="R100" s="2"/>
    </row>
    <row r="101" spans="1:18" x14ac:dyDescent="0.2">
      <c r="A101" s="5"/>
      <c r="B101" s="58" t="s">
        <v>34</v>
      </c>
      <c r="C101" s="58" t="s">
        <v>42</v>
      </c>
      <c r="D101" s="6"/>
      <c r="E101" s="6"/>
      <c r="F101" s="2"/>
      <c r="G101" s="2"/>
      <c r="H101" s="2"/>
      <c r="I101" s="2"/>
      <c r="J101" s="2"/>
      <c r="K101" s="2"/>
      <c r="L101" s="2"/>
      <c r="M101" s="2"/>
      <c r="Q101" s="2"/>
      <c r="R101" s="2"/>
    </row>
    <row r="102" spans="1:18" x14ac:dyDescent="0.2">
      <c r="A102" s="5"/>
      <c r="B102" s="58" t="s">
        <v>135</v>
      </c>
      <c r="C102" s="60" t="s">
        <v>14</v>
      </c>
      <c r="D102" s="6"/>
      <c r="E102" s="6"/>
      <c r="F102" s="2"/>
      <c r="G102" s="2"/>
      <c r="H102" s="2"/>
      <c r="I102" s="2"/>
      <c r="J102" s="2"/>
      <c r="K102" s="2"/>
      <c r="L102" s="2"/>
      <c r="M102" s="2"/>
      <c r="Q102" s="2"/>
      <c r="R102" s="2"/>
    </row>
    <row r="103" spans="1:18" x14ac:dyDescent="0.2">
      <c r="A103" s="5"/>
      <c r="B103" s="58"/>
      <c r="C103" s="58"/>
      <c r="D103" s="6"/>
      <c r="E103" s="6"/>
      <c r="F103" s="2"/>
      <c r="G103" s="2"/>
      <c r="H103" s="2"/>
      <c r="I103" s="2"/>
      <c r="J103" s="2"/>
      <c r="K103" s="2"/>
      <c r="L103" s="2"/>
      <c r="M103" s="2"/>
      <c r="Q103" s="2"/>
      <c r="R103" s="2"/>
    </row>
    <row r="104" spans="1:18" x14ac:dyDescent="0.2">
      <c r="A104" s="5"/>
      <c r="B104" s="58" t="s">
        <v>8</v>
      </c>
      <c r="C104" s="58" t="s">
        <v>9</v>
      </c>
      <c r="D104" s="6"/>
      <c r="E104" s="6"/>
      <c r="F104" s="2"/>
      <c r="G104" s="2"/>
      <c r="H104" s="2"/>
      <c r="I104" s="2"/>
      <c r="J104" s="2"/>
      <c r="K104" s="2"/>
      <c r="L104" s="2"/>
      <c r="M104" s="2"/>
      <c r="Q104" s="2"/>
      <c r="R104" s="2"/>
    </row>
    <row r="105" spans="1:18" x14ac:dyDescent="0.2">
      <c r="A105" s="5"/>
      <c r="B105" s="58" t="s">
        <v>17</v>
      </c>
      <c r="C105" s="58">
        <v>2</v>
      </c>
      <c r="D105" s="6"/>
      <c r="E105" s="6"/>
      <c r="F105" s="2"/>
      <c r="G105" s="2"/>
      <c r="H105" s="2"/>
      <c r="I105" s="2"/>
      <c r="J105" s="2"/>
      <c r="K105" s="2"/>
      <c r="L105" s="2"/>
      <c r="M105" s="2"/>
      <c r="Q105" s="2"/>
      <c r="R105" s="2"/>
    </row>
    <row r="106" spans="1:18" x14ac:dyDescent="0.2">
      <c r="A106" s="5"/>
      <c r="B106" s="58" t="s">
        <v>194</v>
      </c>
      <c r="C106" s="60" t="s">
        <v>92</v>
      </c>
      <c r="D106" s="16" t="s">
        <v>197</v>
      </c>
      <c r="E106" s="6"/>
      <c r="F106" s="2"/>
      <c r="G106" s="2"/>
      <c r="H106" s="2"/>
      <c r="I106" s="2"/>
      <c r="J106" s="2"/>
      <c r="K106" s="2"/>
      <c r="L106" s="2"/>
      <c r="M106" s="2"/>
      <c r="Q106" s="2"/>
      <c r="R106" s="2"/>
    </row>
    <row r="108" spans="1:18" x14ac:dyDescent="0.2">
      <c r="A108" s="4" t="s">
        <v>6</v>
      </c>
    </row>
    <row r="109" spans="1:18" x14ac:dyDescent="0.2">
      <c r="B109" s="2" t="s">
        <v>8</v>
      </c>
      <c r="C109" s="2" t="s">
        <v>9</v>
      </c>
    </row>
    <row r="110" spans="1:18" x14ac:dyDescent="0.2">
      <c r="B110" s="2" t="s">
        <v>17</v>
      </c>
      <c r="C110" s="2">
        <v>2</v>
      </c>
    </row>
    <row r="111" spans="1:18" x14ac:dyDescent="0.2">
      <c r="B111" s="2" t="s">
        <v>166</v>
      </c>
      <c r="C111" s="2" t="str">
        <f ca="1">MID(CELL("filename",A1),FIND("]",CELL("filename",A1))+1,256) &amp; " Finished"</f>
        <v>Dry FCPMqual Finished</v>
      </c>
    </row>
    <row r="112" spans="1:18" x14ac:dyDescent="0.2">
      <c r="B112" s="2" t="s">
        <v>193</v>
      </c>
      <c r="C112" s="6" t="s">
        <v>48</v>
      </c>
    </row>
    <row r="113" spans="1:4" x14ac:dyDescent="0.2">
      <c r="B113" s="2" t="s">
        <v>201</v>
      </c>
      <c r="C113" s="25" t="s">
        <v>92</v>
      </c>
    </row>
    <row r="114" spans="1:4" x14ac:dyDescent="0.2">
      <c r="B114" s="2" t="s">
        <v>202</v>
      </c>
      <c r="C114" s="25" t="s">
        <v>92</v>
      </c>
      <c r="D114" s="3" t="s">
        <v>200</v>
      </c>
    </row>
    <row r="116" spans="1:4" x14ac:dyDescent="0.2">
      <c r="A116" s="4" t="s">
        <v>7</v>
      </c>
    </row>
  </sheetData>
  <phoneticPr fontId="0" type="noConversion"/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51F7-389C-49E2-8E0E-7B8E0553E4BB}">
  <sheetPr codeName="Sheet1">
    <pageSetUpPr fitToPage="1"/>
  </sheetPr>
  <dimension ref="A1:T53"/>
  <sheetViews>
    <sheetView topLeftCell="A27" zoomScale="85" zoomScaleNormal="25" zoomScaleSheetLayoutView="70" workbookViewId="0">
      <selection activeCell="B44" sqref="B44"/>
    </sheetView>
  </sheetViews>
  <sheetFormatPr defaultRowHeight="12.75" x14ac:dyDescent="0.2"/>
  <cols>
    <col min="1" max="1" width="11.5703125" style="113" bestFit="1" customWidth="1"/>
    <col min="2" max="2" width="77.42578125" style="116" customWidth="1"/>
    <col min="3" max="3" width="27.42578125" style="116" customWidth="1"/>
    <col min="4" max="4" width="16.7109375" style="116" customWidth="1"/>
    <col min="5" max="5" width="25.7109375" style="116" bestFit="1" customWidth="1"/>
    <col min="6" max="6" width="15" style="117" bestFit="1" customWidth="1"/>
    <col min="7" max="7" width="16" style="117" bestFit="1" customWidth="1"/>
    <col min="8" max="8" width="8.5703125" style="117" bestFit="1" customWidth="1"/>
    <col min="9" max="9" width="9.28515625" style="117" bestFit="1" customWidth="1"/>
    <col min="10" max="11" width="9.28515625" style="117" customWidth="1"/>
    <col min="12" max="12" width="6.42578125" style="117" bestFit="1" customWidth="1"/>
    <col min="13" max="13" width="8.85546875" style="117" bestFit="1" customWidth="1"/>
    <col min="14" max="14" width="8.5703125" style="117" bestFit="1" customWidth="1"/>
    <col min="15" max="15" width="16.42578125" style="117" bestFit="1" customWidth="1"/>
    <col min="16" max="17" width="9.42578125" style="117" bestFit="1" customWidth="1"/>
    <col min="18" max="18" width="11.85546875" style="116" customWidth="1"/>
    <col min="19" max="19" width="9.5703125" style="116" customWidth="1"/>
    <col min="20" max="20" width="12.140625" style="116" bestFit="1" customWidth="1"/>
    <col min="21" max="22" width="11.140625" style="116" bestFit="1" customWidth="1"/>
    <col min="23" max="23" width="22.140625" style="116" bestFit="1" customWidth="1"/>
    <col min="24" max="24" width="28.7109375" style="116" bestFit="1" customWidth="1"/>
    <col min="25" max="25" width="22.140625" style="116" bestFit="1" customWidth="1"/>
    <col min="26" max="26" width="16.42578125" style="116" bestFit="1" customWidth="1"/>
    <col min="27" max="27" width="21.140625" style="116" bestFit="1" customWidth="1"/>
    <col min="28" max="16384" width="9.140625" style="116"/>
  </cols>
  <sheetData>
    <row r="1" spans="1:17" s="113" customFormat="1" x14ac:dyDescent="0.2">
      <c r="A1" s="112" t="s">
        <v>3</v>
      </c>
      <c r="B1" s="112" t="s">
        <v>4</v>
      </c>
      <c r="C1" s="112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</row>
    <row r="2" spans="1:17" x14ac:dyDescent="0.2">
      <c r="A2" s="112" t="s">
        <v>0</v>
      </c>
      <c r="B2" s="115" t="s">
        <v>1</v>
      </c>
      <c r="C2" s="115" t="s">
        <v>2</v>
      </c>
    </row>
    <row r="4" spans="1:17" s="2" customFormat="1" x14ac:dyDescent="0.2">
      <c r="A4" s="4" t="s">
        <v>5</v>
      </c>
      <c r="F4" s="6"/>
      <c r="G4" s="6"/>
      <c r="H4" s="6"/>
      <c r="I4" s="6"/>
      <c r="J4" s="6"/>
      <c r="K4" s="6"/>
      <c r="O4" s="1"/>
      <c r="P4" s="1"/>
    </row>
    <row r="5" spans="1:17" s="2" customFormat="1" x14ac:dyDescent="0.2">
      <c r="A5" s="4"/>
      <c r="B5" s="2" t="s">
        <v>8</v>
      </c>
      <c r="C5" s="2" t="s">
        <v>9</v>
      </c>
      <c r="F5" s="6"/>
      <c r="G5" s="6"/>
      <c r="H5" s="6"/>
      <c r="I5" s="6"/>
      <c r="J5" s="6"/>
      <c r="K5" s="6"/>
      <c r="O5" s="1"/>
      <c r="P5" s="1"/>
    </row>
    <row r="6" spans="1:17" s="2" customFormat="1" x14ac:dyDescent="0.2">
      <c r="A6" s="4"/>
      <c r="B6" s="2" t="s">
        <v>17</v>
      </c>
      <c r="C6" s="25">
        <v>2</v>
      </c>
      <c r="F6" s="6"/>
      <c r="G6" s="6"/>
      <c r="H6" s="6"/>
      <c r="I6" s="6"/>
      <c r="J6" s="6"/>
      <c r="K6" s="6"/>
      <c r="O6" s="1"/>
      <c r="P6" s="1"/>
    </row>
    <row r="7" spans="1:17" s="2" customFormat="1" x14ac:dyDescent="0.2">
      <c r="A7" s="4"/>
      <c r="B7" s="2" t="s">
        <v>166</v>
      </c>
      <c r="C7" s="25" t="s">
        <v>5</v>
      </c>
      <c r="F7" s="6"/>
      <c r="G7" s="6"/>
      <c r="H7" s="6"/>
      <c r="I7" s="6"/>
      <c r="J7" s="6"/>
      <c r="K7" s="6"/>
      <c r="O7" s="1"/>
      <c r="P7" s="1"/>
    </row>
    <row r="8" spans="1:17" s="2" customFormat="1" x14ac:dyDescent="0.2">
      <c r="A8" s="4"/>
      <c r="B8" s="2" t="s">
        <v>135</v>
      </c>
      <c r="C8" s="25" t="s">
        <v>14</v>
      </c>
      <c r="F8" s="6"/>
      <c r="G8" s="6"/>
      <c r="H8" s="6"/>
      <c r="I8" s="6"/>
      <c r="J8" s="6"/>
      <c r="K8" s="6"/>
      <c r="O8" s="1"/>
      <c r="P8" s="1"/>
    </row>
    <row r="9" spans="1:17" s="2" customFormat="1" x14ac:dyDescent="0.2">
      <c r="A9" s="4"/>
      <c r="B9" s="2" t="s">
        <v>133</v>
      </c>
      <c r="C9" s="25" t="s">
        <v>68</v>
      </c>
      <c r="F9" s="6"/>
      <c r="G9" s="6"/>
      <c r="H9" s="6"/>
      <c r="I9" s="6"/>
      <c r="J9" s="6"/>
      <c r="K9" s="6"/>
      <c r="O9" s="1"/>
      <c r="P9" s="1"/>
    </row>
    <row r="10" spans="1:17" s="2" customFormat="1" x14ac:dyDescent="0.2">
      <c r="A10" s="4"/>
      <c r="B10" s="2" t="s">
        <v>136</v>
      </c>
      <c r="C10" s="28">
        <v>1.1000000000000001</v>
      </c>
      <c r="F10" s="6"/>
      <c r="G10" s="6"/>
      <c r="H10" s="6"/>
      <c r="I10" s="6"/>
      <c r="J10" s="6"/>
      <c r="K10" s="6"/>
      <c r="O10" s="1"/>
      <c r="P10" s="1"/>
    </row>
    <row r="11" spans="1:17" s="2" customFormat="1" x14ac:dyDescent="0.2">
      <c r="A11" s="4"/>
      <c r="B11" s="2" t="s">
        <v>137</v>
      </c>
      <c r="C11" s="94">
        <v>0</v>
      </c>
      <c r="F11" s="6"/>
      <c r="G11" s="6"/>
      <c r="H11" s="6"/>
      <c r="I11" s="6"/>
      <c r="J11" s="6"/>
      <c r="K11" s="6"/>
      <c r="O11" s="1"/>
      <c r="P11" s="1"/>
    </row>
    <row r="12" spans="1:17" s="2" customFormat="1" x14ac:dyDescent="0.2">
      <c r="A12" s="4"/>
      <c r="C12" s="28"/>
      <c r="F12" s="6"/>
      <c r="G12" s="6"/>
      <c r="H12" s="6"/>
      <c r="I12" s="6"/>
      <c r="J12" s="6"/>
      <c r="K12" s="6"/>
      <c r="O12" s="1"/>
      <c r="P12" s="1"/>
    </row>
    <row r="13" spans="1:17" s="2" customFormat="1" x14ac:dyDescent="0.2">
      <c r="A13" s="4"/>
      <c r="B13" s="2" t="s">
        <v>139</v>
      </c>
      <c r="C13" s="25">
        <v>0</v>
      </c>
      <c r="F13" s="6"/>
      <c r="G13" s="6"/>
      <c r="H13" s="6"/>
      <c r="I13" s="6"/>
      <c r="J13" s="6"/>
      <c r="K13" s="6"/>
      <c r="O13" s="1"/>
      <c r="P13" s="1"/>
    </row>
    <row r="14" spans="1:17" s="6" customFormat="1" x14ac:dyDescent="0.2">
      <c r="A14" s="5"/>
      <c r="B14" s="6" t="s">
        <v>138</v>
      </c>
      <c r="C14" s="27">
        <v>100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7" s="2" customFormat="1" x14ac:dyDescent="0.2">
      <c r="A15" s="4"/>
      <c r="B15" s="2" t="s">
        <v>149</v>
      </c>
      <c r="C15" s="25">
        <v>1</v>
      </c>
      <c r="D15" s="3" t="s">
        <v>180</v>
      </c>
      <c r="F15" s="6"/>
      <c r="G15" s="6"/>
      <c r="H15" s="6"/>
      <c r="I15" s="6"/>
      <c r="J15" s="6"/>
      <c r="K15" s="6"/>
      <c r="O15" s="1"/>
      <c r="P15" s="1"/>
    </row>
    <row r="16" spans="1:17" s="2" customFormat="1" x14ac:dyDescent="0.2">
      <c r="A16" s="4"/>
      <c r="B16" s="2" t="s">
        <v>150</v>
      </c>
      <c r="C16" s="25">
        <v>1</v>
      </c>
      <c r="D16" s="3" t="s">
        <v>180</v>
      </c>
      <c r="F16" s="6"/>
      <c r="G16" s="6"/>
      <c r="H16" s="6"/>
      <c r="I16" s="6"/>
      <c r="J16" s="6"/>
      <c r="K16" s="6"/>
      <c r="O16" s="1"/>
      <c r="P16" s="1"/>
    </row>
    <row r="17" spans="1:17" s="2" customFormat="1" x14ac:dyDescent="0.2">
      <c r="B17" s="2" t="s">
        <v>151</v>
      </c>
      <c r="C17" s="25" t="s">
        <v>189</v>
      </c>
      <c r="D17" s="3"/>
    </row>
    <row r="18" spans="1:17" s="2" customFormat="1" x14ac:dyDescent="0.2">
      <c r="C18" s="25"/>
      <c r="D18" s="3"/>
    </row>
    <row r="19" spans="1:17" s="2" customFormat="1" x14ac:dyDescent="0.2">
      <c r="B19" s="8" t="s">
        <v>152</v>
      </c>
      <c r="C19" s="25" t="s">
        <v>24</v>
      </c>
      <c r="D19" s="3"/>
      <c r="F19" s="6"/>
      <c r="G19" s="6"/>
      <c r="H19" s="6"/>
      <c r="I19" s="6"/>
      <c r="J19" s="6"/>
      <c r="K19" s="6"/>
    </row>
    <row r="20" spans="1:17" s="2" customFormat="1" x14ac:dyDescent="0.2">
      <c r="B20" s="8" t="s">
        <v>153</v>
      </c>
      <c r="C20" s="25" t="s">
        <v>92</v>
      </c>
      <c r="D20" s="26"/>
      <c r="F20" s="6"/>
      <c r="G20" s="6"/>
      <c r="H20" s="6"/>
      <c r="I20" s="6"/>
      <c r="J20" s="6"/>
      <c r="K20" s="6"/>
    </row>
    <row r="21" spans="1:17" s="2" customFormat="1" x14ac:dyDescent="0.2">
      <c r="B21" s="2" t="s">
        <v>154</v>
      </c>
      <c r="C21" s="25" t="s">
        <v>14</v>
      </c>
      <c r="D21" s="3"/>
      <c r="F21" s="6"/>
      <c r="G21" s="6"/>
      <c r="H21" s="6"/>
      <c r="I21" s="6"/>
      <c r="J21" s="6"/>
      <c r="K21" s="6"/>
    </row>
    <row r="22" spans="1:17" s="2" customFormat="1" x14ac:dyDescent="0.2">
      <c r="B22" s="2" t="s">
        <v>155</v>
      </c>
      <c r="C22" s="25" t="s">
        <v>14</v>
      </c>
      <c r="D22" s="3"/>
      <c r="F22" s="6"/>
      <c r="G22" s="6"/>
      <c r="H22" s="6"/>
      <c r="I22" s="6"/>
      <c r="J22" s="6"/>
      <c r="K22" s="6"/>
    </row>
    <row r="23" spans="1:17" s="2" customFormat="1" x14ac:dyDescent="0.2">
      <c r="C23" s="25"/>
      <c r="D23" s="3"/>
      <c r="F23" s="6"/>
      <c r="G23" s="6"/>
      <c r="H23" s="6"/>
      <c r="I23" s="6"/>
      <c r="J23" s="6"/>
      <c r="K23" s="6"/>
    </row>
    <row r="24" spans="1:17" s="2" customFormat="1" x14ac:dyDescent="0.2">
      <c r="B24" s="2" t="s">
        <v>16</v>
      </c>
      <c r="C24" s="25" t="s">
        <v>24</v>
      </c>
      <c r="D24" s="3"/>
      <c r="E24" s="3"/>
      <c r="F24" s="6"/>
      <c r="G24" s="6"/>
      <c r="H24" s="6"/>
      <c r="I24" s="6"/>
      <c r="J24" s="6"/>
      <c r="K24" s="6"/>
    </row>
    <row r="25" spans="1:17" s="2" customFormat="1" x14ac:dyDescent="0.2">
      <c r="B25" s="2" t="s">
        <v>25</v>
      </c>
      <c r="C25" s="25">
        <v>30</v>
      </c>
      <c r="D25" s="3"/>
      <c r="F25" s="6"/>
      <c r="G25" s="6"/>
      <c r="H25" s="6"/>
      <c r="I25" s="6"/>
      <c r="J25" s="6"/>
      <c r="K25" s="6"/>
    </row>
    <row r="26" spans="1:17" s="2" customFormat="1" x14ac:dyDescent="0.2">
      <c r="B26" s="2" t="s">
        <v>195</v>
      </c>
      <c r="C26" s="25">
        <v>30</v>
      </c>
      <c r="D26" s="3"/>
      <c r="F26" s="6"/>
      <c r="G26" s="6"/>
      <c r="H26" s="6"/>
      <c r="I26" s="6"/>
      <c r="J26" s="6"/>
      <c r="K26" s="6"/>
      <c r="L26" s="6"/>
      <c r="M26" s="6"/>
    </row>
    <row r="27" spans="1:17" s="2" customFormat="1" x14ac:dyDescent="0.2">
      <c r="B27" s="2" t="s">
        <v>190</v>
      </c>
      <c r="C27" s="25">
        <v>1</v>
      </c>
      <c r="D27" s="3"/>
      <c r="F27" s="6"/>
      <c r="G27" s="6"/>
      <c r="H27" s="6"/>
      <c r="I27" s="6"/>
      <c r="J27" s="6"/>
      <c r="K27" s="6"/>
      <c r="L27" s="6"/>
      <c r="M27" s="6"/>
    </row>
    <row r="28" spans="1:17" s="2" customFormat="1" x14ac:dyDescent="0.2">
      <c r="C28" s="25"/>
      <c r="F28" s="6"/>
      <c r="G28" s="6"/>
      <c r="H28" s="6"/>
      <c r="I28" s="6"/>
      <c r="J28" s="6"/>
      <c r="K28" s="6"/>
    </row>
    <row r="29" spans="1:17" s="2" customFormat="1" x14ac:dyDescent="0.2">
      <c r="B29" s="2" t="s">
        <v>157</v>
      </c>
      <c r="C29" s="28">
        <v>0.2</v>
      </c>
    </row>
    <row r="30" spans="1:17" s="2" customFormat="1" x14ac:dyDescent="0.2">
      <c r="B30" s="2" t="s">
        <v>156</v>
      </c>
      <c r="C30" s="28" t="s">
        <v>24</v>
      </c>
    </row>
    <row r="31" spans="1:17" s="2" customFormat="1" x14ac:dyDescent="0.2">
      <c r="B31" s="2" t="s">
        <v>158</v>
      </c>
      <c r="C31" s="25" t="s">
        <v>14</v>
      </c>
      <c r="F31" s="6"/>
      <c r="G31" s="6"/>
      <c r="H31" s="6"/>
      <c r="I31" s="6"/>
      <c r="J31" s="6"/>
      <c r="K31" s="6"/>
    </row>
    <row r="32" spans="1:17" s="2" customFormat="1" x14ac:dyDescent="0.2">
      <c r="A32" s="4"/>
      <c r="B32" s="8"/>
      <c r="C32" s="25"/>
      <c r="F32" s="6"/>
      <c r="G32" s="6"/>
      <c r="H32" s="6"/>
      <c r="I32" s="6"/>
      <c r="J32" s="6"/>
      <c r="K32" s="6"/>
      <c r="P32" s="1"/>
      <c r="Q32" s="1"/>
    </row>
    <row r="33" spans="1:20" s="118" customFormat="1" ht="56.25" customHeight="1" x14ac:dyDescent="0.2">
      <c r="A33" s="118" t="s">
        <v>15</v>
      </c>
      <c r="B33" s="119" t="s">
        <v>10</v>
      </c>
      <c r="C33" s="118" t="s">
        <v>11</v>
      </c>
      <c r="D33" s="118" t="s">
        <v>12</v>
      </c>
      <c r="E33" s="113" t="s">
        <v>27</v>
      </c>
      <c r="F33" s="120" t="s">
        <v>133</v>
      </c>
      <c r="G33" s="114" t="s">
        <v>135</v>
      </c>
      <c r="H33" s="120" t="s">
        <v>136</v>
      </c>
      <c r="I33" s="120" t="s">
        <v>137</v>
      </c>
      <c r="J33" s="120" t="s">
        <v>149</v>
      </c>
      <c r="K33" s="120" t="s">
        <v>150</v>
      </c>
      <c r="L33" s="118" t="s">
        <v>143</v>
      </c>
      <c r="M33" s="118" t="s">
        <v>145</v>
      </c>
      <c r="N33" s="118" t="s">
        <v>146</v>
      </c>
      <c r="O33" s="118" t="s">
        <v>153</v>
      </c>
      <c r="P33" s="118" t="s">
        <v>147</v>
      </c>
      <c r="Q33" s="118" t="s">
        <v>148</v>
      </c>
      <c r="R33" s="118" t="s">
        <v>25</v>
      </c>
      <c r="S33" s="118" t="s">
        <v>195</v>
      </c>
      <c r="T33" s="118" t="s">
        <v>16</v>
      </c>
    </row>
    <row r="34" spans="1:20" s="123" customFormat="1" ht="26.25" x14ac:dyDescent="0.25">
      <c r="A34" s="121" t="s">
        <v>21</v>
      </c>
      <c r="B34" s="122" t="s">
        <v>181</v>
      </c>
      <c r="C34" s="123" t="s">
        <v>13</v>
      </c>
      <c r="D34" s="123" t="s">
        <v>13</v>
      </c>
      <c r="E34" s="123" t="s">
        <v>28</v>
      </c>
      <c r="F34" s="124" t="s">
        <v>182</v>
      </c>
      <c r="G34" s="124" t="s">
        <v>26</v>
      </c>
      <c r="H34" s="124" t="s">
        <v>18</v>
      </c>
      <c r="I34" s="124" t="s">
        <v>20</v>
      </c>
      <c r="J34" s="124" t="s">
        <v>180</v>
      </c>
      <c r="K34" s="124" t="s">
        <v>180</v>
      </c>
      <c r="L34" s="123" t="s">
        <v>183</v>
      </c>
      <c r="M34" s="123" t="s">
        <v>22</v>
      </c>
      <c r="N34" s="123" t="s">
        <v>22</v>
      </c>
      <c r="O34" s="123" t="s">
        <v>39</v>
      </c>
      <c r="P34" s="123" t="s">
        <v>184</v>
      </c>
      <c r="Q34" s="123" t="s">
        <v>184</v>
      </c>
      <c r="T34" s="123" t="s">
        <v>43</v>
      </c>
    </row>
    <row r="35" spans="1:20" x14ac:dyDescent="0.2">
      <c r="B35" s="125" t="s">
        <v>185</v>
      </c>
      <c r="C35" s="116">
        <v>60</v>
      </c>
      <c r="D35" s="116">
        <v>0</v>
      </c>
      <c r="F35" s="126" t="s">
        <v>90</v>
      </c>
      <c r="G35" s="126" t="s">
        <v>14</v>
      </c>
      <c r="H35" s="127">
        <v>1.1000000000000001</v>
      </c>
      <c r="I35" s="128">
        <v>0</v>
      </c>
      <c r="J35" s="129">
        <v>1</v>
      </c>
      <c r="K35" s="129">
        <v>1</v>
      </c>
      <c r="L35" s="116">
        <v>20</v>
      </c>
      <c r="M35" s="116">
        <v>100</v>
      </c>
      <c r="N35" s="116">
        <v>100</v>
      </c>
      <c r="O35" s="116" t="s">
        <v>92</v>
      </c>
      <c r="P35" s="116">
        <v>100</v>
      </c>
      <c r="Q35" s="116">
        <v>100</v>
      </c>
      <c r="R35" s="116">
        <v>60</v>
      </c>
      <c r="S35" s="116">
        <v>60</v>
      </c>
      <c r="T35" s="116" t="s">
        <v>24</v>
      </c>
    </row>
    <row r="36" spans="1:20" x14ac:dyDescent="0.2">
      <c r="B36" s="125" t="s">
        <v>186</v>
      </c>
      <c r="C36" s="116">
        <v>60</v>
      </c>
      <c r="D36" s="116">
        <v>0</v>
      </c>
      <c r="F36" s="130" t="s">
        <v>68</v>
      </c>
      <c r="G36" s="130" t="s">
        <v>14</v>
      </c>
      <c r="H36" s="131"/>
      <c r="I36" s="131">
        <v>0</v>
      </c>
      <c r="J36" s="129">
        <v>1</v>
      </c>
      <c r="K36" s="129">
        <v>1</v>
      </c>
      <c r="L36" s="116">
        <v>20</v>
      </c>
      <c r="M36" s="116">
        <v>100</v>
      </c>
      <c r="N36" s="116">
        <v>100</v>
      </c>
      <c r="O36" s="132" t="s">
        <v>48</v>
      </c>
      <c r="P36" s="116">
        <v>100</v>
      </c>
      <c r="Q36" s="116">
        <v>100</v>
      </c>
      <c r="R36" s="116">
        <v>60</v>
      </c>
      <c r="S36" s="116">
        <v>60</v>
      </c>
      <c r="T36" s="116" t="s">
        <v>24</v>
      </c>
    </row>
    <row r="37" spans="1:20" x14ac:dyDescent="0.2">
      <c r="B37" s="125" t="s">
        <v>187</v>
      </c>
      <c r="C37" s="116">
        <v>60</v>
      </c>
      <c r="D37" s="116">
        <v>0</v>
      </c>
      <c r="F37" s="130" t="s">
        <v>68</v>
      </c>
      <c r="G37" s="130" t="s">
        <v>14</v>
      </c>
      <c r="H37" s="131"/>
      <c r="I37" s="131">
        <v>0</v>
      </c>
      <c r="J37" s="129">
        <v>0</v>
      </c>
      <c r="K37" s="129">
        <v>0</v>
      </c>
      <c r="L37" s="116">
        <v>20</v>
      </c>
      <c r="M37" s="116">
        <v>100</v>
      </c>
      <c r="N37" s="116">
        <v>100</v>
      </c>
      <c r="O37" s="116"/>
      <c r="P37" s="116">
        <v>100</v>
      </c>
      <c r="Q37" s="116">
        <v>100</v>
      </c>
      <c r="R37" s="116">
        <v>60</v>
      </c>
      <c r="S37" s="116">
        <v>60</v>
      </c>
      <c r="T37" s="116" t="s">
        <v>24</v>
      </c>
    </row>
    <row r="38" spans="1:20" x14ac:dyDescent="0.2">
      <c r="B38" s="125" t="s">
        <v>188</v>
      </c>
      <c r="C38" s="116">
        <v>600</v>
      </c>
      <c r="D38" s="116">
        <v>0</v>
      </c>
      <c r="F38" s="130" t="s">
        <v>68</v>
      </c>
      <c r="G38" s="130" t="s">
        <v>14</v>
      </c>
      <c r="H38" s="131"/>
      <c r="I38" s="131">
        <v>0</v>
      </c>
      <c r="J38" s="129">
        <v>0</v>
      </c>
      <c r="K38" s="129">
        <v>0</v>
      </c>
      <c r="L38" s="116">
        <v>20</v>
      </c>
      <c r="M38" s="116">
        <v>100</v>
      </c>
      <c r="N38" s="116">
        <v>100</v>
      </c>
      <c r="O38" s="116"/>
      <c r="P38" s="116">
        <v>100</v>
      </c>
      <c r="Q38" s="116">
        <v>100</v>
      </c>
      <c r="R38" s="116">
        <v>60</v>
      </c>
      <c r="S38" s="116">
        <v>60</v>
      </c>
      <c r="T38" s="116" t="s">
        <v>14</v>
      </c>
    </row>
    <row r="39" spans="1:20" x14ac:dyDescent="0.2">
      <c r="L39" s="116"/>
      <c r="M39" s="116"/>
      <c r="N39" s="116"/>
      <c r="O39" s="116"/>
      <c r="P39" s="116"/>
      <c r="Q39" s="116"/>
    </row>
    <row r="40" spans="1:20" x14ac:dyDescent="0.2">
      <c r="A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</row>
    <row r="41" spans="1:20" s="117" customFormat="1" x14ac:dyDescent="0.2">
      <c r="A41" s="114"/>
    </row>
    <row r="42" spans="1:20" x14ac:dyDescent="0.2">
      <c r="A42" s="112" t="s">
        <v>6</v>
      </c>
      <c r="B42" s="133"/>
      <c r="C42" s="133"/>
      <c r="D42" s="133"/>
      <c r="Q42" s="116"/>
    </row>
    <row r="43" spans="1:20" x14ac:dyDescent="0.2">
      <c r="A43" s="112"/>
      <c r="B43" s="133" t="s">
        <v>8</v>
      </c>
      <c r="C43" s="133" t="s">
        <v>9</v>
      </c>
      <c r="D43" s="133"/>
      <c r="Q43" s="116"/>
    </row>
    <row r="44" spans="1:20" x14ac:dyDescent="0.2">
      <c r="A44" s="112"/>
      <c r="B44" s="133" t="s">
        <v>166</v>
      </c>
      <c r="C44" s="134" t="s">
        <v>40</v>
      </c>
      <c r="D44" s="133"/>
      <c r="Q44" s="116"/>
    </row>
    <row r="45" spans="1:20" s="2" customFormat="1" x14ac:dyDescent="0.2">
      <c r="A45" s="4"/>
      <c r="B45" s="2" t="s">
        <v>201</v>
      </c>
      <c r="C45" s="25" t="s">
        <v>92</v>
      </c>
      <c r="F45" s="6"/>
      <c r="G45" s="6"/>
      <c r="H45" s="6"/>
      <c r="I45" s="6"/>
      <c r="J45" s="6"/>
      <c r="K45" s="6"/>
      <c r="L45" s="6"/>
      <c r="M45" s="6"/>
      <c r="Q45" s="1"/>
      <c r="R45" s="1"/>
    </row>
    <row r="46" spans="1:20" s="2" customFormat="1" x14ac:dyDescent="0.2">
      <c r="A46" s="4"/>
      <c r="B46" s="2" t="s">
        <v>202</v>
      </c>
      <c r="C46" s="25" t="s">
        <v>92</v>
      </c>
      <c r="D46" s="3" t="s">
        <v>200</v>
      </c>
      <c r="F46" s="6"/>
      <c r="G46" s="6"/>
      <c r="H46" s="6"/>
      <c r="I46" s="6"/>
      <c r="J46" s="6"/>
      <c r="K46" s="6"/>
      <c r="L46" s="6"/>
      <c r="M46" s="6"/>
      <c r="Q46" s="1"/>
      <c r="R46" s="1"/>
    </row>
    <row r="47" spans="1:20" x14ac:dyDescent="0.2">
      <c r="A47" s="112"/>
      <c r="B47" s="133"/>
      <c r="C47" s="133"/>
      <c r="D47" s="133"/>
    </row>
    <row r="48" spans="1:20" x14ac:dyDescent="0.2">
      <c r="A48" s="112"/>
      <c r="B48" s="133" t="s">
        <v>8</v>
      </c>
      <c r="C48" s="133" t="s">
        <v>29</v>
      </c>
      <c r="D48" s="133"/>
    </row>
    <row r="49" spans="1:4" x14ac:dyDescent="0.2">
      <c r="A49" s="112"/>
      <c r="B49" s="133" t="s">
        <v>176</v>
      </c>
      <c r="C49" s="48" t="s">
        <v>204</v>
      </c>
      <c r="D49" s="133"/>
    </row>
    <row r="50" spans="1:4" x14ac:dyDescent="0.2">
      <c r="A50" s="112"/>
      <c r="B50" s="133"/>
      <c r="C50" s="133"/>
      <c r="D50" s="133"/>
    </row>
    <row r="51" spans="1:4" x14ac:dyDescent="0.2">
      <c r="A51" s="112" t="s">
        <v>7</v>
      </c>
      <c r="B51" s="133"/>
      <c r="C51" s="133"/>
      <c r="D51" s="133"/>
    </row>
    <row r="52" spans="1:4" x14ac:dyDescent="0.2">
      <c r="A52" s="112"/>
      <c r="B52" s="133"/>
      <c r="C52" s="133"/>
      <c r="D52" s="133"/>
    </row>
    <row r="53" spans="1:4" x14ac:dyDescent="0.2">
      <c r="A53" s="112"/>
      <c r="B53" s="133"/>
      <c r="C53" s="133"/>
      <c r="D53" s="133"/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A273-6934-41EA-8777-E2C73550D805}">
  <sheetPr codeName="Sheet13">
    <pageSetUpPr fitToPage="1"/>
  </sheetPr>
  <dimension ref="A1:AD112"/>
  <sheetViews>
    <sheetView tabSelected="1" zoomScale="75" zoomScaleNormal="75" zoomScaleSheetLayoutView="70" workbookViewId="0">
      <selection activeCell="A41" sqref="A41:IV41"/>
    </sheetView>
  </sheetViews>
  <sheetFormatPr defaultRowHeight="12" x14ac:dyDescent="0.2"/>
  <cols>
    <col min="1" max="1" width="11.5703125" style="358" bestFit="1" customWidth="1"/>
    <col min="2" max="2" width="69.5703125" style="358" bestFit="1" customWidth="1"/>
    <col min="3" max="3" width="18.5703125" style="358" bestFit="1" customWidth="1"/>
    <col min="4" max="4" width="8.140625" style="358" customWidth="1"/>
    <col min="5" max="5" width="18.5703125" style="358" bestFit="1" customWidth="1"/>
    <col min="6" max="6" width="8.140625" style="358" customWidth="1"/>
    <col min="7" max="7" width="12" style="358" bestFit="1" customWidth="1"/>
    <col min="8" max="8" width="7.5703125" style="358" customWidth="1"/>
    <col min="9" max="9" width="15.42578125" style="358" customWidth="1"/>
    <col min="10" max="10" width="17.140625" style="358" customWidth="1"/>
    <col min="11" max="11" width="9.42578125" style="358" bestFit="1" customWidth="1"/>
    <col min="12" max="13" width="9.140625" style="358"/>
    <col min="14" max="14" width="6.7109375" style="358" customWidth="1"/>
    <col min="15" max="16" width="6.85546875" style="358" customWidth="1"/>
    <col min="17" max="16384" width="9.140625" style="358"/>
  </cols>
  <sheetData>
    <row r="1" spans="1:16" x14ac:dyDescent="0.2">
      <c r="A1" s="358" t="s">
        <v>3</v>
      </c>
      <c r="B1" s="358" t="s">
        <v>4</v>
      </c>
    </row>
    <row r="2" spans="1:16" x14ac:dyDescent="0.2">
      <c r="A2" s="358" t="s">
        <v>0</v>
      </c>
      <c r="B2" s="358" t="s">
        <v>1</v>
      </c>
      <c r="C2" s="358" t="s">
        <v>2</v>
      </c>
    </row>
    <row r="4" spans="1:16" x14ac:dyDescent="0.2">
      <c r="A4" s="358" t="s">
        <v>5</v>
      </c>
    </row>
    <row r="5" spans="1:16" x14ac:dyDescent="0.2">
      <c r="B5" s="358" t="s">
        <v>8</v>
      </c>
      <c r="C5" s="358" t="s">
        <v>9</v>
      </c>
      <c r="E5" s="359"/>
      <c r="F5" s="359"/>
      <c r="G5" s="359"/>
      <c r="H5" s="359"/>
      <c r="I5" s="359"/>
      <c r="J5" s="359"/>
      <c r="K5" s="359"/>
      <c r="P5" s="359"/>
    </row>
    <row r="6" spans="1:16" x14ac:dyDescent="0.2">
      <c r="B6" s="358" t="s">
        <v>17</v>
      </c>
      <c r="C6" s="358">
        <v>2</v>
      </c>
      <c r="E6" s="359"/>
      <c r="F6" s="359"/>
      <c r="G6" s="359"/>
      <c r="H6" s="359"/>
      <c r="I6" s="359"/>
      <c r="J6" s="359"/>
      <c r="K6" s="359"/>
      <c r="P6" s="359"/>
    </row>
    <row r="7" spans="1:16" s="361" customFormat="1" ht="12.75" x14ac:dyDescent="0.25">
      <c r="A7" s="360"/>
      <c r="B7" s="361" t="s">
        <v>166</v>
      </c>
      <c r="C7" s="362" t="s">
        <v>5</v>
      </c>
      <c r="E7" s="363"/>
      <c r="F7" s="363"/>
      <c r="G7" s="363"/>
      <c r="H7" s="363"/>
      <c r="I7" s="363"/>
      <c r="J7" s="363"/>
      <c r="K7" s="363"/>
      <c r="P7" s="363"/>
    </row>
    <row r="8" spans="1:16" s="361" customFormat="1" ht="12.75" x14ac:dyDescent="0.25">
      <c r="A8" s="360"/>
      <c r="B8" s="361" t="s">
        <v>135</v>
      </c>
      <c r="C8" s="362" t="s">
        <v>14</v>
      </c>
      <c r="E8" s="363"/>
      <c r="F8" s="363"/>
      <c r="G8" s="363"/>
      <c r="H8" s="363"/>
      <c r="I8" s="363"/>
      <c r="J8" s="363"/>
      <c r="K8" s="363"/>
      <c r="P8" s="363"/>
    </row>
    <row r="9" spans="1:16" s="361" customFormat="1" ht="12.75" x14ac:dyDescent="0.25">
      <c r="A9" s="360"/>
      <c r="B9" s="361" t="s">
        <v>133</v>
      </c>
      <c r="C9" s="362" t="s">
        <v>90</v>
      </c>
      <c r="E9" s="363"/>
      <c r="F9" s="363"/>
      <c r="G9" s="363"/>
      <c r="H9" s="363"/>
      <c r="I9" s="363"/>
      <c r="J9" s="363"/>
      <c r="K9" s="363"/>
      <c r="P9" s="363"/>
    </row>
    <row r="10" spans="1:16" s="361" customFormat="1" ht="12.75" x14ac:dyDescent="0.25">
      <c r="A10" s="360"/>
      <c r="B10" s="361" t="s">
        <v>136</v>
      </c>
      <c r="C10" s="364">
        <v>1.1000000000000001</v>
      </c>
      <c r="E10" s="363"/>
      <c r="F10" s="363"/>
      <c r="G10" s="363"/>
      <c r="H10" s="363"/>
      <c r="I10" s="363"/>
      <c r="J10" s="363"/>
      <c r="K10" s="363"/>
      <c r="P10" s="363"/>
    </row>
    <row r="11" spans="1:16" s="361" customFormat="1" ht="12.75" x14ac:dyDescent="0.25">
      <c r="A11" s="360"/>
      <c r="B11" s="361" t="s">
        <v>137</v>
      </c>
      <c r="C11" s="365">
        <v>0</v>
      </c>
      <c r="E11" s="363"/>
      <c r="F11" s="363"/>
      <c r="G11" s="363"/>
      <c r="H11" s="363"/>
      <c r="I11" s="363"/>
      <c r="J11" s="363"/>
      <c r="K11" s="363"/>
      <c r="P11" s="363"/>
    </row>
    <row r="12" spans="1:16" s="361" customFormat="1" ht="12.75" x14ac:dyDescent="0.25">
      <c r="A12" s="360"/>
      <c r="C12" s="364"/>
      <c r="E12" s="363"/>
      <c r="F12" s="363"/>
      <c r="G12" s="363"/>
      <c r="H12" s="363"/>
      <c r="I12" s="363"/>
      <c r="J12" s="363"/>
      <c r="K12" s="363"/>
      <c r="P12" s="363"/>
    </row>
    <row r="13" spans="1:16" s="361" customFormat="1" ht="12.75" x14ac:dyDescent="0.25">
      <c r="A13" s="360"/>
      <c r="B13" s="366" t="s">
        <v>167</v>
      </c>
      <c r="C13" s="367">
        <v>0</v>
      </c>
      <c r="D13" s="361" t="s">
        <v>355</v>
      </c>
      <c r="E13" s="363"/>
      <c r="F13" s="363"/>
      <c r="G13" s="363"/>
      <c r="H13" s="363"/>
      <c r="I13" s="363"/>
      <c r="J13" s="363"/>
      <c r="K13" s="363"/>
      <c r="P13" s="363"/>
    </row>
    <row r="14" spans="1:16" s="361" customFormat="1" ht="12.75" x14ac:dyDescent="0.25">
      <c r="A14" s="360"/>
      <c r="B14" s="366" t="s">
        <v>138</v>
      </c>
      <c r="C14" s="367">
        <v>100</v>
      </c>
      <c r="D14" s="368"/>
      <c r="E14" s="363"/>
      <c r="F14" s="363"/>
      <c r="G14" s="363"/>
      <c r="H14" s="363"/>
      <c r="I14" s="363"/>
      <c r="J14" s="363"/>
      <c r="K14" s="363"/>
      <c r="P14" s="363"/>
    </row>
    <row r="15" spans="1:16" s="361" customFormat="1" ht="12.75" x14ac:dyDescent="0.25">
      <c r="A15" s="360"/>
      <c r="B15" s="369" t="s">
        <v>139</v>
      </c>
      <c r="C15" s="370">
        <v>0</v>
      </c>
      <c r="D15" s="368"/>
      <c r="E15" s="363"/>
      <c r="F15" s="363"/>
      <c r="G15" s="363"/>
      <c r="H15" s="363"/>
      <c r="I15" s="363"/>
      <c r="J15" s="363"/>
      <c r="K15" s="363"/>
      <c r="P15" s="363"/>
    </row>
    <row r="16" spans="1:16" s="361" customFormat="1" ht="12.75" x14ac:dyDescent="0.25">
      <c r="B16" s="361" t="s">
        <v>151</v>
      </c>
      <c r="C16" s="362" t="s">
        <v>362</v>
      </c>
      <c r="D16" s="368"/>
      <c r="E16" s="363"/>
      <c r="F16" s="363"/>
      <c r="G16" s="363"/>
      <c r="H16" s="363"/>
      <c r="I16" s="363"/>
      <c r="J16" s="363"/>
      <c r="K16" s="363"/>
      <c r="P16" s="363"/>
    </row>
    <row r="17" spans="1:16" s="361" customFormat="1" ht="12.75" x14ac:dyDescent="0.25">
      <c r="A17" s="360"/>
      <c r="B17" s="361" t="s">
        <v>149</v>
      </c>
      <c r="C17" s="364">
        <v>1</v>
      </c>
      <c r="E17" s="363"/>
      <c r="F17" s="363"/>
      <c r="G17" s="363"/>
      <c r="H17" s="363"/>
      <c r="I17" s="363"/>
      <c r="J17" s="363"/>
      <c r="K17" s="363"/>
      <c r="P17" s="363"/>
    </row>
    <row r="18" spans="1:16" s="361" customFormat="1" ht="12.75" x14ac:dyDescent="0.25">
      <c r="A18" s="360"/>
      <c r="B18" s="361" t="s">
        <v>150</v>
      </c>
      <c r="C18" s="364">
        <v>2.1</v>
      </c>
      <c r="E18" s="363"/>
      <c r="F18" s="363"/>
      <c r="G18" s="363"/>
      <c r="H18" s="363"/>
      <c r="I18" s="363"/>
      <c r="J18" s="363"/>
      <c r="K18" s="363"/>
      <c r="P18" s="363"/>
    </row>
    <row r="19" spans="1:16" s="361" customFormat="1" ht="12.75" x14ac:dyDescent="0.25">
      <c r="C19" s="362"/>
      <c r="D19" s="368"/>
      <c r="E19" s="363"/>
      <c r="F19" s="363"/>
      <c r="G19" s="363"/>
      <c r="H19" s="363"/>
      <c r="I19" s="363"/>
      <c r="J19" s="363"/>
      <c r="K19" s="363"/>
      <c r="P19" s="363"/>
    </row>
    <row r="20" spans="1:16" s="361" customFormat="1" ht="12.75" x14ac:dyDescent="0.25">
      <c r="B20" s="371" t="s">
        <v>152</v>
      </c>
      <c r="C20" s="362" t="s">
        <v>24</v>
      </c>
      <c r="D20" s="368"/>
      <c r="E20" s="363"/>
      <c r="F20" s="363"/>
      <c r="G20" s="363"/>
      <c r="H20" s="363"/>
      <c r="I20" s="363"/>
      <c r="J20" s="363"/>
      <c r="K20" s="363"/>
      <c r="P20" s="363"/>
    </row>
    <row r="21" spans="1:16" s="361" customFormat="1" ht="12.75" x14ac:dyDescent="0.25">
      <c r="B21" s="371" t="s">
        <v>153</v>
      </c>
      <c r="C21" s="362" t="s">
        <v>48</v>
      </c>
      <c r="D21" s="372"/>
      <c r="E21" s="363"/>
      <c r="F21" s="363"/>
      <c r="G21" s="363"/>
      <c r="H21" s="363"/>
      <c r="I21" s="363"/>
      <c r="J21" s="363"/>
      <c r="K21" s="363"/>
      <c r="P21" s="363"/>
    </row>
    <row r="22" spans="1:16" s="361" customFormat="1" ht="12.75" x14ac:dyDescent="0.25">
      <c r="B22" s="373" t="s">
        <v>147</v>
      </c>
      <c r="C22" s="362">
        <v>0</v>
      </c>
      <c r="D22" s="372"/>
      <c r="E22" s="363"/>
      <c r="F22" s="363"/>
      <c r="G22" s="363"/>
      <c r="H22" s="363"/>
      <c r="I22" s="363"/>
      <c r="J22" s="363"/>
      <c r="K22" s="363"/>
      <c r="P22" s="363"/>
    </row>
    <row r="23" spans="1:16" s="361" customFormat="1" ht="12.75" x14ac:dyDescent="0.25">
      <c r="B23" s="373" t="s">
        <v>148</v>
      </c>
      <c r="C23" s="362">
        <v>0</v>
      </c>
      <c r="D23" s="372"/>
      <c r="E23" s="363"/>
      <c r="F23" s="363"/>
      <c r="G23" s="363"/>
      <c r="H23" s="363"/>
      <c r="I23" s="363"/>
      <c r="J23" s="363"/>
      <c r="K23" s="363"/>
      <c r="P23" s="363"/>
    </row>
    <row r="24" spans="1:16" s="361" customFormat="1" ht="12.75" x14ac:dyDescent="0.25">
      <c r="B24" s="371"/>
      <c r="C24" s="362"/>
      <c r="D24" s="372"/>
      <c r="E24" s="363"/>
      <c r="F24" s="363"/>
      <c r="G24" s="363"/>
      <c r="H24" s="363"/>
      <c r="I24" s="363"/>
      <c r="J24" s="363"/>
      <c r="K24" s="363"/>
      <c r="P24" s="363"/>
    </row>
    <row r="25" spans="1:16" s="361" customFormat="1" ht="12.75" x14ac:dyDescent="0.25">
      <c r="B25" s="361" t="s">
        <v>154</v>
      </c>
      <c r="C25" s="362" t="s">
        <v>14</v>
      </c>
      <c r="D25" s="368" t="s">
        <v>320</v>
      </c>
      <c r="E25" s="363"/>
      <c r="F25" s="363"/>
      <c r="G25" s="363"/>
      <c r="H25" s="363"/>
      <c r="I25" s="363"/>
      <c r="J25" s="363"/>
      <c r="K25" s="363"/>
      <c r="P25" s="363"/>
    </row>
    <row r="26" spans="1:16" s="361" customFormat="1" ht="12.75" x14ac:dyDescent="0.25">
      <c r="B26" s="361" t="s">
        <v>155</v>
      </c>
      <c r="C26" s="362" t="s">
        <v>14</v>
      </c>
      <c r="D26" s="374" t="s">
        <v>320</v>
      </c>
      <c r="E26" s="363"/>
      <c r="F26" s="363"/>
      <c r="G26" s="363"/>
      <c r="H26" s="363"/>
      <c r="I26" s="363"/>
      <c r="J26" s="363"/>
      <c r="K26" s="363"/>
      <c r="P26" s="363"/>
    </row>
    <row r="27" spans="1:16" s="361" customFormat="1" ht="12.75" x14ac:dyDescent="0.25">
      <c r="C27" s="362"/>
      <c r="D27" s="368"/>
      <c r="E27" s="363"/>
      <c r="F27" s="363"/>
      <c r="G27" s="363"/>
      <c r="H27" s="363"/>
      <c r="I27" s="363"/>
      <c r="J27" s="363"/>
      <c r="K27" s="363"/>
      <c r="P27" s="363"/>
    </row>
    <row r="28" spans="1:16" s="361" customFormat="1" ht="12.75" x14ac:dyDescent="0.25">
      <c r="B28" s="361" t="s">
        <v>16</v>
      </c>
      <c r="C28" s="362" t="s">
        <v>24</v>
      </c>
      <c r="D28" s="368"/>
      <c r="E28" s="375"/>
      <c r="F28" s="363"/>
      <c r="G28" s="363"/>
      <c r="H28" s="363"/>
      <c r="I28" s="363"/>
      <c r="J28" s="363"/>
      <c r="K28" s="363"/>
      <c r="P28" s="363"/>
    </row>
    <row r="29" spans="1:16" s="361" customFormat="1" ht="12.75" x14ac:dyDescent="0.25">
      <c r="B29" s="361" t="s">
        <v>25</v>
      </c>
      <c r="C29" s="362">
        <v>5</v>
      </c>
      <c r="D29" s="368"/>
      <c r="E29" s="363"/>
      <c r="F29" s="363"/>
      <c r="H29" s="363"/>
      <c r="I29" s="363"/>
      <c r="J29" s="363"/>
      <c r="K29" s="363"/>
      <c r="P29" s="363"/>
    </row>
    <row r="30" spans="1:16" s="361" customFormat="1" x14ac:dyDescent="0.2">
      <c r="C30" s="362"/>
      <c r="E30" s="363"/>
      <c r="F30" s="363"/>
      <c r="H30" s="363"/>
      <c r="I30" s="363"/>
      <c r="J30" s="363"/>
      <c r="K30" s="363"/>
      <c r="P30" s="363"/>
    </row>
    <row r="31" spans="1:16" s="361" customFormat="1" x14ac:dyDescent="0.2">
      <c r="B31" s="361" t="s">
        <v>157</v>
      </c>
      <c r="C31" s="364">
        <v>-0.1</v>
      </c>
      <c r="E31" s="363"/>
      <c r="F31" s="363"/>
      <c r="G31" s="363"/>
      <c r="H31" s="363"/>
      <c r="I31" s="363"/>
      <c r="J31" s="363"/>
      <c r="K31" s="363"/>
      <c r="P31" s="363"/>
    </row>
    <row r="32" spans="1:16" s="361" customFormat="1" x14ac:dyDescent="0.2">
      <c r="B32" s="361" t="s">
        <v>156</v>
      </c>
      <c r="C32" s="364" t="s">
        <v>48</v>
      </c>
      <c r="E32" s="363"/>
      <c r="F32" s="363"/>
      <c r="G32" s="363"/>
      <c r="H32" s="363"/>
      <c r="I32" s="363"/>
      <c r="J32" s="363"/>
      <c r="K32" s="363"/>
      <c r="P32" s="363"/>
    </row>
    <row r="33" spans="1:18" s="361" customFormat="1" x14ac:dyDescent="0.2">
      <c r="B33" s="361" t="s">
        <v>158</v>
      </c>
      <c r="C33" s="362" t="s">
        <v>48</v>
      </c>
      <c r="E33" s="363"/>
      <c r="F33" s="363"/>
      <c r="G33" s="363"/>
      <c r="H33" s="363"/>
      <c r="I33" s="363"/>
      <c r="J33" s="363"/>
      <c r="K33" s="363"/>
      <c r="P33" s="363"/>
    </row>
    <row r="34" spans="1:18" x14ac:dyDescent="0.2">
      <c r="E34" s="359"/>
      <c r="F34" s="359"/>
      <c r="G34" s="359"/>
      <c r="H34" s="359"/>
      <c r="I34" s="359"/>
      <c r="J34" s="359"/>
      <c r="K34" s="359"/>
      <c r="P34" s="359"/>
    </row>
    <row r="35" spans="1:18" x14ac:dyDescent="0.2">
      <c r="B35" s="376" t="s">
        <v>267</v>
      </c>
      <c r="C35" s="377" t="s">
        <v>268</v>
      </c>
      <c r="E35" s="359"/>
      <c r="F35" s="359"/>
      <c r="G35" s="359"/>
      <c r="H35" s="359"/>
      <c r="I35" s="359"/>
      <c r="J35" s="359"/>
      <c r="K35" s="359"/>
      <c r="P35" s="359"/>
    </row>
    <row r="36" spans="1:18" x14ac:dyDescent="0.2">
      <c r="B36" s="376" t="s">
        <v>269</v>
      </c>
      <c r="C36" s="377" t="s">
        <v>321</v>
      </c>
      <c r="E36" s="359"/>
      <c r="F36" s="359"/>
      <c r="G36" s="359"/>
      <c r="H36" s="359"/>
      <c r="I36" s="359"/>
      <c r="J36" s="359"/>
      <c r="K36" s="359"/>
      <c r="P36" s="359"/>
    </row>
    <row r="37" spans="1:18" x14ac:dyDescent="0.2">
      <c r="B37" s="376" t="s">
        <v>263</v>
      </c>
      <c r="C37" s="362" t="s">
        <v>264</v>
      </c>
      <c r="E37" s="359"/>
      <c r="F37" s="359"/>
      <c r="G37" s="359"/>
      <c r="H37" s="359"/>
      <c r="I37" s="359"/>
      <c r="J37" s="359"/>
      <c r="K37" s="359"/>
      <c r="P37" s="359"/>
    </row>
    <row r="38" spans="1:18" x14ac:dyDescent="0.2">
      <c r="B38" s="376" t="s">
        <v>323</v>
      </c>
      <c r="C38" s="362" t="s">
        <v>356</v>
      </c>
      <c r="E38" s="359"/>
      <c r="F38" s="359"/>
      <c r="G38" s="359"/>
      <c r="H38" s="359"/>
      <c r="I38" s="359"/>
      <c r="J38" s="359"/>
      <c r="K38" s="359"/>
      <c r="P38" s="359"/>
    </row>
    <row r="39" spans="1:18" x14ac:dyDescent="0.2">
      <c r="B39" s="376" t="s">
        <v>302</v>
      </c>
      <c r="C39" s="378">
        <v>0.35</v>
      </c>
      <c r="E39" s="359"/>
      <c r="F39" s="359"/>
      <c r="G39" s="359"/>
      <c r="H39" s="359"/>
      <c r="I39" s="359"/>
      <c r="J39" s="359"/>
      <c r="K39" s="359"/>
      <c r="P39" s="359"/>
    </row>
    <row r="40" spans="1:18" x14ac:dyDescent="0.2">
      <c r="B40" s="376" t="s">
        <v>262</v>
      </c>
      <c r="C40" s="362" t="s">
        <v>92</v>
      </c>
      <c r="E40" s="359"/>
      <c r="F40" s="359"/>
      <c r="G40" s="359"/>
      <c r="H40" s="359"/>
      <c r="I40" s="359"/>
      <c r="J40" s="359"/>
      <c r="K40" s="359"/>
      <c r="P40" s="359"/>
    </row>
    <row r="41" spans="1:18" s="411" customFormat="1" ht="12.75" x14ac:dyDescent="0.25">
      <c r="A41" s="410"/>
      <c r="B41" s="411" t="s">
        <v>391</v>
      </c>
      <c r="C41" s="414" t="s">
        <v>392</v>
      </c>
      <c r="F41" s="412"/>
      <c r="G41" s="412"/>
      <c r="H41" s="412"/>
      <c r="I41" s="412"/>
      <c r="J41" s="412"/>
      <c r="K41" s="412"/>
      <c r="L41" s="412"/>
      <c r="M41" s="412"/>
      <c r="Q41" s="413"/>
      <c r="R41" s="413"/>
    </row>
    <row r="42" spans="1:18" x14ac:dyDescent="0.2">
      <c r="B42" s="376" t="s">
        <v>300</v>
      </c>
      <c r="C42" s="370" t="s">
        <v>327</v>
      </c>
      <c r="D42" s="379"/>
    </row>
    <row r="43" spans="1:18" s="361" customFormat="1" ht="12.75" x14ac:dyDescent="0.25">
      <c r="A43" s="380"/>
      <c r="B43" s="376" t="s">
        <v>328</v>
      </c>
      <c r="C43" s="362">
        <v>3</v>
      </c>
      <c r="F43" s="369"/>
      <c r="G43" s="369"/>
      <c r="H43" s="369"/>
      <c r="I43" s="369"/>
      <c r="J43" s="369"/>
      <c r="K43" s="369"/>
      <c r="L43" s="369"/>
      <c r="P43" s="369"/>
    </row>
    <row r="44" spans="1:18" ht="12.75" x14ac:dyDescent="0.25">
      <c r="B44" s="376" t="s">
        <v>329</v>
      </c>
      <c r="C44" s="381">
        <v>-0.05</v>
      </c>
      <c r="D44" s="382" t="s">
        <v>90</v>
      </c>
    </row>
    <row r="45" spans="1:18" ht="12.75" x14ac:dyDescent="0.25">
      <c r="B45" s="376" t="s">
        <v>330</v>
      </c>
      <c r="C45" s="381">
        <v>-1.1000000000000001</v>
      </c>
      <c r="D45" s="382" t="s">
        <v>90</v>
      </c>
    </row>
    <row r="46" spans="1:18" ht="12.75" x14ac:dyDescent="0.25">
      <c r="B46" s="376" t="s">
        <v>331</v>
      </c>
      <c r="C46" s="381">
        <v>0.05</v>
      </c>
      <c r="D46" s="382" t="s">
        <v>332</v>
      </c>
    </row>
    <row r="47" spans="1:18" ht="12.75" x14ac:dyDescent="0.25">
      <c r="B47" s="376" t="s">
        <v>266</v>
      </c>
      <c r="C47" s="383">
        <v>250</v>
      </c>
      <c r="D47" s="382" t="s">
        <v>333</v>
      </c>
    </row>
    <row r="48" spans="1:18" s="384" customFormat="1" ht="12.75" x14ac:dyDescent="0.25">
      <c r="C48" s="381"/>
      <c r="D48" s="382"/>
    </row>
    <row r="49" spans="1:16" s="385" customFormat="1" ht="48.75" x14ac:dyDescent="0.25">
      <c r="A49" s="385" t="s">
        <v>15</v>
      </c>
      <c r="B49" s="385" t="s">
        <v>10</v>
      </c>
      <c r="C49" s="386" t="s">
        <v>11</v>
      </c>
      <c r="D49" s="387" t="s">
        <v>12</v>
      </c>
      <c r="E49" s="363" t="s">
        <v>27</v>
      </c>
      <c r="F49" s="386" t="s">
        <v>149</v>
      </c>
      <c r="G49" s="386" t="s">
        <v>150</v>
      </c>
      <c r="H49" s="388" t="s">
        <v>143</v>
      </c>
      <c r="I49" s="386" t="s">
        <v>145</v>
      </c>
      <c r="J49" s="386" t="s">
        <v>146</v>
      </c>
      <c r="K49" s="386" t="s">
        <v>154</v>
      </c>
      <c r="L49" s="386" t="s">
        <v>357</v>
      </c>
      <c r="M49" s="386" t="s">
        <v>358</v>
      </c>
      <c r="N49" s="386" t="s">
        <v>365</v>
      </c>
      <c r="O49" s="386" t="s">
        <v>366</v>
      </c>
      <c r="P49" s="386" t="s">
        <v>25</v>
      </c>
    </row>
    <row r="50" spans="1:16" s="391" customFormat="1" ht="25.5" x14ac:dyDescent="0.25">
      <c r="A50" s="380" t="s">
        <v>21</v>
      </c>
      <c r="B50" s="389" t="s">
        <v>209</v>
      </c>
      <c r="C50" s="390" t="s">
        <v>13</v>
      </c>
      <c r="D50" s="390" t="s">
        <v>13</v>
      </c>
      <c r="E50" s="390" t="s">
        <v>28</v>
      </c>
      <c r="F50" s="390" t="s">
        <v>210</v>
      </c>
      <c r="G50" s="390" t="s">
        <v>210</v>
      </c>
      <c r="H50" s="390" t="s">
        <v>183</v>
      </c>
      <c r="I50" s="390" t="s">
        <v>22</v>
      </c>
      <c r="J50" s="390" t="s">
        <v>22</v>
      </c>
      <c r="K50" s="390" t="s">
        <v>334</v>
      </c>
      <c r="L50" s="390" t="s">
        <v>334</v>
      </c>
      <c r="M50" s="390" t="s">
        <v>334</v>
      </c>
      <c r="N50" s="390" t="s">
        <v>334</v>
      </c>
      <c r="O50" s="390" t="s">
        <v>210</v>
      </c>
      <c r="P50" s="390"/>
    </row>
    <row r="51" spans="1:16" x14ac:dyDescent="0.2">
      <c r="B51" s="358" t="s">
        <v>368</v>
      </c>
      <c r="C51" s="359">
        <v>2</v>
      </c>
      <c r="D51" s="359">
        <v>0</v>
      </c>
      <c r="E51" s="392" t="s">
        <v>104</v>
      </c>
      <c r="F51" s="393">
        <v>2</v>
      </c>
      <c r="G51" s="393">
        <v>3</v>
      </c>
      <c r="H51" s="359">
        <v>30</v>
      </c>
      <c r="I51" s="359">
        <v>100</v>
      </c>
      <c r="J51" s="359">
        <v>100</v>
      </c>
      <c r="K51" s="359" t="s">
        <v>14</v>
      </c>
      <c r="L51" s="359" t="s">
        <v>14</v>
      </c>
      <c r="M51" s="359" t="s">
        <v>14</v>
      </c>
      <c r="N51" s="359" t="s">
        <v>14</v>
      </c>
      <c r="O51" s="393">
        <v>0</v>
      </c>
      <c r="P51" s="359">
        <v>60</v>
      </c>
    </row>
    <row r="52" spans="1:16" x14ac:dyDescent="0.2">
      <c r="F52" s="394"/>
      <c r="G52" s="394"/>
      <c r="L52" s="359"/>
      <c r="M52" s="359"/>
      <c r="N52" s="359"/>
      <c r="O52" s="393"/>
    </row>
    <row r="53" spans="1:16" x14ac:dyDescent="0.2">
      <c r="B53" s="358" t="s">
        <v>367</v>
      </c>
      <c r="C53" s="359">
        <v>300</v>
      </c>
      <c r="D53" s="359">
        <v>0</v>
      </c>
      <c r="E53" s="359"/>
      <c r="F53" s="393">
        <v>2</v>
      </c>
      <c r="G53" s="393">
        <v>0</v>
      </c>
      <c r="H53" s="359">
        <v>30</v>
      </c>
      <c r="I53" s="359">
        <v>100</v>
      </c>
      <c r="J53" s="359">
        <v>100</v>
      </c>
      <c r="K53" s="359" t="s">
        <v>14</v>
      </c>
      <c r="L53" s="359" t="s">
        <v>24</v>
      </c>
      <c r="M53" s="359" t="s">
        <v>24</v>
      </c>
      <c r="N53" s="359" t="s">
        <v>24</v>
      </c>
      <c r="O53" s="393">
        <v>0.2</v>
      </c>
      <c r="P53" s="359">
        <v>30</v>
      </c>
    </row>
    <row r="54" spans="1:16" x14ac:dyDescent="0.2">
      <c r="B54" s="358" t="s">
        <v>359</v>
      </c>
      <c r="C54" s="359">
        <v>10</v>
      </c>
      <c r="D54" s="359">
        <v>0</v>
      </c>
      <c r="E54" s="359"/>
      <c r="F54" s="393">
        <v>2</v>
      </c>
      <c r="G54" s="393">
        <v>0</v>
      </c>
      <c r="H54" s="359">
        <v>30</v>
      </c>
      <c r="I54" s="359">
        <v>100</v>
      </c>
      <c r="J54" s="359">
        <v>100</v>
      </c>
      <c r="K54" s="359" t="s">
        <v>24</v>
      </c>
      <c r="L54" s="359" t="s">
        <v>24</v>
      </c>
      <c r="M54" s="359" t="s">
        <v>24</v>
      </c>
      <c r="N54" s="359" t="s">
        <v>24</v>
      </c>
      <c r="O54" s="393">
        <v>0.2</v>
      </c>
      <c r="P54" s="359">
        <v>30</v>
      </c>
    </row>
    <row r="55" spans="1:16" x14ac:dyDescent="0.2">
      <c r="B55" s="358" t="s">
        <v>363</v>
      </c>
      <c r="C55" s="359">
        <v>60</v>
      </c>
      <c r="D55" s="359">
        <v>0</v>
      </c>
      <c r="E55" s="359"/>
      <c r="F55" s="393">
        <v>0.4</v>
      </c>
      <c r="G55" s="393">
        <v>0</v>
      </c>
      <c r="H55" s="359">
        <v>30</v>
      </c>
      <c r="I55" s="359">
        <v>100</v>
      </c>
      <c r="J55" s="359">
        <v>100</v>
      </c>
      <c r="K55" s="359" t="s">
        <v>14</v>
      </c>
      <c r="L55" s="359" t="s">
        <v>24</v>
      </c>
      <c r="M55" s="359" t="s">
        <v>24</v>
      </c>
      <c r="N55" s="359" t="s">
        <v>24</v>
      </c>
      <c r="O55" s="393">
        <v>0.2</v>
      </c>
      <c r="P55" s="359">
        <v>30</v>
      </c>
    </row>
    <row r="56" spans="1:16" x14ac:dyDescent="0.2">
      <c r="C56" s="359"/>
      <c r="D56" s="359"/>
      <c r="E56" s="359"/>
      <c r="F56" s="393"/>
      <c r="G56" s="393"/>
      <c r="H56" s="359"/>
      <c r="I56" s="359"/>
      <c r="J56" s="359"/>
      <c r="K56" s="359"/>
      <c r="L56" s="359"/>
      <c r="M56" s="359"/>
      <c r="N56" s="359"/>
      <c r="O56" s="393"/>
      <c r="P56" s="359"/>
    </row>
    <row r="57" spans="1:16" x14ac:dyDescent="0.2">
      <c r="B57" s="358" t="s">
        <v>360</v>
      </c>
      <c r="C57" s="359">
        <v>2</v>
      </c>
      <c r="D57" s="359">
        <v>0</v>
      </c>
      <c r="E57" s="395" t="s">
        <v>341</v>
      </c>
      <c r="F57" s="393">
        <v>0</v>
      </c>
      <c r="G57" s="393">
        <v>0</v>
      </c>
      <c r="H57" s="359">
        <v>30</v>
      </c>
      <c r="I57" s="359">
        <v>100</v>
      </c>
      <c r="J57" s="359">
        <v>100</v>
      </c>
      <c r="K57" s="359" t="s">
        <v>14</v>
      </c>
      <c r="L57" s="359" t="s">
        <v>24</v>
      </c>
      <c r="M57" s="359" t="s">
        <v>24</v>
      </c>
      <c r="N57" s="359" t="s">
        <v>24</v>
      </c>
      <c r="O57" s="393">
        <v>0.2</v>
      </c>
      <c r="P57" s="359">
        <v>10</v>
      </c>
    </row>
    <row r="58" spans="1:16" x14ac:dyDescent="0.2">
      <c r="C58" s="359"/>
      <c r="D58" s="359"/>
      <c r="E58" s="359"/>
      <c r="F58" s="393"/>
      <c r="G58" s="393"/>
      <c r="H58" s="359"/>
      <c r="I58" s="359"/>
      <c r="J58" s="359"/>
      <c r="K58" s="359"/>
      <c r="L58" s="359"/>
      <c r="M58" s="359"/>
      <c r="O58" s="393"/>
      <c r="P58" s="359"/>
    </row>
    <row r="59" spans="1:16" x14ac:dyDescent="0.2">
      <c r="B59" s="358" t="s">
        <v>361</v>
      </c>
      <c r="C59" s="359">
        <v>120</v>
      </c>
      <c r="D59" s="359">
        <v>0</v>
      </c>
      <c r="E59" s="359"/>
      <c r="F59" s="393">
        <v>2</v>
      </c>
      <c r="G59" s="393">
        <v>3</v>
      </c>
      <c r="H59" s="359">
        <v>30</v>
      </c>
      <c r="I59" s="359">
        <v>100</v>
      </c>
      <c r="J59" s="359">
        <v>100</v>
      </c>
      <c r="K59" s="359" t="s">
        <v>14</v>
      </c>
      <c r="L59" s="359" t="s">
        <v>92</v>
      </c>
      <c r="M59" s="359" t="s">
        <v>14</v>
      </c>
      <c r="N59" s="359" t="s">
        <v>14</v>
      </c>
      <c r="O59" s="393">
        <v>0</v>
      </c>
      <c r="P59" s="359">
        <v>30</v>
      </c>
    </row>
    <row r="60" spans="1:16" x14ac:dyDescent="0.2">
      <c r="B60" s="358" t="s">
        <v>364</v>
      </c>
      <c r="C60" s="359">
        <v>60</v>
      </c>
      <c r="D60" s="359">
        <v>0</v>
      </c>
      <c r="E60" s="359"/>
      <c r="F60" s="393">
        <v>2</v>
      </c>
      <c r="G60" s="393">
        <v>3</v>
      </c>
      <c r="H60" s="359"/>
      <c r="I60" s="359"/>
      <c r="J60" s="359"/>
      <c r="K60" s="359"/>
      <c r="L60" s="359" t="s">
        <v>48</v>
      </c>
      <c r="M60" s="359"/>
      <c r="N60" s="359"/>
      <c r="O60" s="393"/>
      <c r="P60" s="359"/>
    </row>
    <row r="61" spans="1:16" x14ac:dyDescent="0.2">
      <c r="C61" s="359"/>
      <c r="D61" s="359"/>
      <c r="E61" s="359"/>
      <c r="F61" s="393"/>
      <c r="G61" s="393"/>
      <c r="H61" s="359"/>
      <c r="I61" s="359"/>
      <c r="J61" s="359"/>
      <c r="K61" s="359"/>
      <c r="L61" s="359"/>
      <c r="M61" s="359"/>
      <c r="P61" s="359"/>
    </row>
    <row r="62" spans="1:16" x14ac:dyDescent="0.2">
      <c r="C62" s="359"/>
      <c r="D62" s="359"/>
      <c r="E62" s="359"/>
      <c r="F62" s="359"/>
      <c r="G62" s="359"/>
      <c r="H62" s="359"/>
      <c r="I62" s="359"/>
      <c r="J62" s="359"/>
      <c r="K62" s="359"/>
      <c r="P62" s="359"/>
    </row>
    <row r="63" spans="1:16" s="361" customFormat="1" ht="12.75" x14ac:dyDescent="0.25">
      <c r="A63" s="360" t="s">
        <v>30</v>
      </c>
      <c r="B63" s="396" t="s">
        <v>31</v>
      </c>
      <c r="C63" s="397" t="s">
        <v>104</v>
      </c>
      <c r="F63" s="369"/>
      <c r="G63" s="369"/>
      <c r="H63" s="369"/>
      <c r="I63" s="369"/>
      <c r="J63" s="369"/>
      <c r="K63" s="369"/>
      <c r="P63" s="369"/>
    </row>
    <row r="64" spans="1:16" s="361" customFormat="1" ht="12.75" x14ac:dyDescent="0.25">
      <c r="A64" s="360"/>
      <c r="B64" s="398" t="s">
        <v>8</v>
      </c>
      <c r="C64" s="398" t="s">
        <v>96</v>
      </c>
      <c r="F64" s="369"/>
      <c r="G64" s="369"/>
      <c r="H64" s="369"/>
      <c r="I64" s="369"/>
      <c r="J64" s="369"/>
      <c r="K64" s="369"/>
      <c r="P64" s="369"/>
    </row>
    <row r="65" spans="1:16" s="361" customFormat="1" ht="12.75" x14ac:dyDescent="0.25">
      <c r="A65" s="360"/>
      <c r="B65" s="398" t="s">
        <v>45</v>
      </c>
      <c r="C65" s="398" t="s">
        <v>33</v>
      </c>
      <c r="F65" s="369"/>
      <c r="G65" s="369"/>
      <c r="H65" s="369"/>
      <c r="I65" s="369"/>
      <c r="J65" s="369"/>
      <c r="K65" s="369"/>
      <c r="P65" s="369"/>
    </row>
    <row r="66" spans="1:16" s="361" customFormat="1" ht="12.75" x14ac:dyDescent="0.25">
      <c r="A66" s="360"/>
      <c r="B66" s="398" t="s">
        <v>17</v>
      </c>
      <c r="C66" s="398">
        <v>900</v>
      </c>
      <c r="F66" s="369"/>
      <c r="G66" s="369"/>
      <c r="H66" s="369"/>
      <c r="I66" s="369"/>
      <c r="J66" s="369"/>
      <c r="K66" s="369"/>
      <c r="P66" s="369"/>
    </row>
    <row r="67" spans="1:16" s="361" customFormat="1" x14ac:dyDescent="0.2">
      <c r="B67" s="398" t="s">
        <v>34</v>
      </c>
      <c r="C67" s="398" t="s">
        <v>97</v>
      </c>
    </row>
    <row r="68" spans="1:16" s="361" customFormat="1" x14ac:dyDescent="0.2">
      <c r="B68" s="398" t="s">
        <v>98</v>
      </c>
      <c r="C68" s="399" t="s">
        <v>161</v>
      </c>
    </row>
    <row r="69" spans="1:16" s="361" customFormat="1" x14ac:dyDescent="0.2">
      <c r="B69" s="398" t="s">
        <v>99</v>
      </c>
      <c r="C69" s="399" t="s">
        <v>144</v>
      </c>
    </row>
    <row r="70" spans="1:16" s="361" customFormat="1" x14ac:dyDescent="0.2">
      <c r="B70" s="398" t="s">
        <v>100</v>
      </c>
      <c r="C70" s="398">
        <v>0.5</v>
      </c>
    </row>
    <row r="71" spans="1:16" s="361" customFormat="1" x14ac:dyDescent="0.2">
      <c r="B71" s="398" t="s">
        <v>101</v>
      </c>
      <c r="C71" s="398">
        <v>180</v>
      </c>
    </row>
    <row r="72" spans="1:16" s="361" customFormat="1" x14ac:dyDescent="0.2">
      <c r="B72" s="398" t="s">
        <v>34</v>
      </c>
      <c r="C72" s="398" t="s">
        <v>97</v>
      </c>
    </row>
    <row r="73" spans="1:16" s="361" customFormat="1" x14ac:dyDescent="0.2">
      <c r="B73" s="398" t="s">
        <v>98</v>
      </c>
      <c r="C73" s="399" t="s">
        <v>162</v>
      </c>
    </row>
    <row r="74" spans="1:16" s="361" customFormat="1" x14ac:dyDescent="0.2">
      <c r="B74" s="398" t="s">
        <v>99</v>
      </c>
      <c r="C74" s="399" t="s">
        <v>159</v>
      </c>
    </row>
    <row r="75" spans="1:16" s="361" customFormat="1" x14ac:dyDescent="0.2">
      <c r="B75" s="398" t="s">
        <v>100</v>
      </c>
      <c r="C75" s="398">
        <v>0.5</v>
      </c>
    </row>
    <row r="76" spans="1:16" s="361" customFormat="1" x14ac:dyDescent="0.2">
      <c r="B76" s="398" t="s">
        <v>101</v>
      </c>
      <c r="C76" s="398">
        <v>180</v>
      </c>
    </row>
    <row r="77" spans="1:16" s="361" customFormat="1" x14ac:dyDescent="0.2">
      <c r="B77" s="398" t="s">
        <v>34</v>
      </c>
      <c r="C77" s="398" t="s">
        <v>97</v>
      </c>
    </row>
    <row r="78" spans="1:16" s="361" customFormat="1" x14ac:dyDescent="0.2">
      <c r="B78" s="398" t="s">
        <v>98</v>
      </c>
      <c r="C78" s="399" t="s">
        <v>163</v>
      </c>
    </row>
    <row r="79" spans="1:16" s="361" customFormat="1" x14ac:dyDescent="0.2">
      <c r="B79" s="398" t="s">
        <v>99</v>
      </c>
      <c r="C79" s="399" t="s">
        <v>160</v>
      </c>
    </row>
    <row r="80" spans="1:16" s="361" customFormat="1" x14ac:dyDescent="0.2">
      <c r="B80" s="398" t="s">
        <v>100</v>
      </c>
      <c r="C80" s="398">
        <v>0.5</v>
      </c>
    </row>
    <row r="81" spans="1:30" s="361" customFormat="1" x14ac:dyDescent="0.2">
      <c r="B81" s="398" t="s">
        <v>101</v>
      </c>
      <c r="C81" s="398">
        <v>180</v>
      </c>
    </row>
    <row r="82" spans="1:30" s="379" customFormat="1" ht="12.75" x14ac:dyDescent="0.25">
      <c r="A82" s="400"/>
      <c r="C82" s="401"/>
      <c r="E82" s="402"/>
    </row>
    <row r="83" spans="1:30" x14ac:dyDescent="0.2">
      <c r="A83" s="358" t="s">
        <v>30</v>
      </c>
      <c r="B83" s="403" t="s">
        <v>31</v>
      </c>
      <c r="C83" s="403" t="s">
        <v>341</v>
      </c>
    </row>
    <row r="84" spans="1:30" x14ac:dyDescent="0.2">
      <c r="B84" s="404" t="s">
        <v>8</v>
      </c>
      <c r="C84" s="404" t="s">
        <v>9</v>
      </c>
      <c r="D84" s="379"/>
    </row>
    <row r="85" spans="1:30" x14ac:dyDescent="0.2">
      <c r="B85" s="404" t="s">
        <v>17</v>
      </c>
      <c r="C85" s="404">
        <v>2</v>
      </c>
      <c r="D85" s="379" t="s">
        <v>342</v>
      </c>
    </row>
    <row r="86" spans="1:30" s="408" customFormat="1" x14ac:dyDescent="0.2">
      <c r="A86" s="379"/>
      <c r="B86" s="404" t="s">
        <v>206</v>
      </c>
      <c r="C86" s="405" t="s">
        <v>14</v>
      </c>
      <c r="D86" s="379"/>
      <c r="E86" s="379"/>
      <c r="F86" s="406"/>
      <c r="G86" s="358"/>
      <c r="H86" s="406"/>
      <c r="I86" s="406"/>
      <c r="J86" s="406"/>
      <c r="K86" s="407"/>
      <c r="L86" s="407"/>
      <c r="M86" s="407"/>
      <c r="N86" s="407"/>
      <c r="O86" s="407"/>
      <c r="P86" s="407"/>
      <c r="Q86" s="406"/>
      <c r="R86" s="406"/>
      <c r="S86" s="406"/>
      <c r="T86" s="406"/>
      <c r="U86" s="406"/>
      <c r="V86" s="406"/>
      <c r="W86" s="406"/>
      <c r="X86" s="406"/>
      <c r="Y86" s="406"/>
      <c r="Z86" s="406"/>
      <c r="AA86" s="406"/>
      <c r="AB86" s="406"/>
      <c r="AC86" s="406"/>
      <c r="AD86" s="406"/>
    </row>
    <row r="87" spans="1:30" s="408" customFormat="1" x14ac:dyDescent="0.2">
      <c r="A87" s="379"/>
      <c r="B87" s="404" t="s">
        <v>275</v>
      </c>
      <c r="C87" s="405" t="s">
        <v>92</v>
      </c>
      <c r="D87" s="379"/>
      <c r="E87" s="379"/>
      <c r="F87" s="406"/>
      <c r="G87" s="358"/>
      <c r="H87" s="406"/>
      <c r="I87" s="406"/>
      <c r="J87" s="406"/>
      <c r="K87" s="407"/>
      <c r="L87" s="407"/>
      <c r="M87" s="407"/>
      <c r="N87" s="407"/>
      <c r="O87" s="407"/>
      <c r="P87" s="407"/>
      <c r="Q87" s="406"/>
      <c r="R87" s="406"/>
      <c r="S87" s="406"/>
      <c r="T87" s="406"/>
      <c r="U87" s="406"/>
      <c r="V87" s="406"/>
      <c r="W87" s="406"/>
      <c r="X87" s="406"/>
      <c r="Y87" s="406"/>
      <c r="Z87" s="406"/>
      <c r="AA87" s="406"/>
      <c r="AB87" s="406"/>
      <c r="AC87" s="406"/>
      <c r="AD87" s="406"/>
    </row>
    <row r="88" spans="1:30" s="408" customFormat="1" x14ac:dyDescent="0.2">
      <c r="A88" s="379"/>
      <c r="B88" s="404"/>
      <c r="C88" s="405"/>
      <c r="D88" s="379"/>
      <c r="E88" s="379"/>
      <c r="F88" s="406"/>
      <c r="G88" s="358"/>
      <c r="H88" s="406"/>
      <c r="I88" s="406"/>
      <c r="J88" s="406"/>
      <c r="K88" s="407"/>
      <c r="L88" s="407"/>
      <c r="M88" s="407"/>
      <c r="N88" s="407"/>
      <c r="O88" s="407"/>
      <c r="P88" s="407"/>
      <c r="Q88" s="406"/>
      <c r="R88" s="406"/>
      <c r="S88" s="406"/>
      <c r="T88" s="406"/>
      <c r="U88" s="406"/>
      <c r="V88" s="406"/>
      <c r="W88" s="406"/>
      <c r="X88" s="406"/>
      <c r="Y88" s="406"/>
      <c r="Z88" s="406"/>
      <c r="AA88" s="406"/>
      <c r="AB88" s="406"/>
      <c r="AC88" s="406"/>
      <c r="AD88" s="406"/>
    </row>
    <row r="89" spans="1:30" x14ac:dyDescent="0.2">
      <c r="B89" s="404" t="s">
        <v>8</v>
      </c>
      <c r="C89" s="404" t="s">
        <v>9</v>
      </c>
      <c r="D89" s="379"/>
    </row>
    <row r="90" spans="1:30" x14ac:dyDescent="0.2">
      <c r="B90" s="404" t="s">
        <v>17</v>
      </c>
      <c r="C90" s="404">
        <v>30</v>
      </c>
      <c r="D90" s="379" t="s">
        <v>342</v>
      </c>
    </row>
    <row r="91" spans="1:30" x14ac:dyDescent="0.2">
      <c r="B91" s="403" t="s">
        <v>303</v>
      </c>
      <c r="C91" s="405" t="s">
        <v>92</v>
      </c>
      <c r="D91" s="379"/>
    </row>
    <row r="92" spans="1:30" x14ac:dyDescent="0.2">
      <c r="B92" s="404"/>
      <c r="C92" s="404"/>
      <c r="D92" s="379"/>
    </row>
    <row r="93" spans="1:30" x14ac:dyDescent="0.2">
      <c r="B93" s="404" t="s">
        <v>8</v>
      </c>
      <c r="C93" s="409" t="s">
        <v>32</v>
      </c>
      <c r="D93" s="379"/>
    </row>
    <row r="94" spans="1:30" x14ac:dyDescent="0.2">
      <c r="B94" s="404" t="s">
        <v>17</v>
      </c>
      <c r="C94" s="405">
        <f>(-C45+C44)/C46*2*C43+30</f>
        <v>156</v>
      </c>
      <c r="D94" s="379" t="s">
        <v>342</v>
      </c>
    </row>
    <row r="95" spans="1:30" x14ac:dyDescent="0.2">
      <c r="B95" s="404" t="s">
        <v>34</v>
      </c>
      <c r="C95" s="409" t="s">
        <v>42</v>
      </c>
      <c r="D95" s="379"/>
    </row>
    <row r="96" spans="1:30" x14ac:dyDescent="0.2">
      <c r="B96" s="403" t="s">
        <v>343</v>
      </c>
      <c r="C96" s="405" t="s">
        <v>48</v>
      </c>
      <c r="D96" s="379"/>
    </row>
    <row r="97" spans="1:30" x14ac:dyDescent="0.2">
      <c r="B97" s="403"/>
      <c r="C97" s="403"/>
    </row>
    <row r="98" spans="1:30" x14ac:dyDescent="0.2">
      <c r="B98" s="404" t="s">
        <v>8</v>
      </c>
      <c r="C98" s="404" t="s">
        <v>9</v>
      </c>
      <c r="D98" s="379"/>
    </row>
    <row r="99" spans="1:30" x14ac:dyDescent="0.2">
      <c r="B99" s="404" t="s">
        <v>17</v>
      </c>
      <c r="C99" s="404">
        <v>2</v>
      </c>
      <c r="D99" s="379" t="s">
        <v>342</v>
      </c>
    </row>
    <row r="100" spans="1:30" x14ac:dyDescent="0.2">
      <c r="B100" s="403" t="s">
        <v>303</v>
      </c>
      <c r="C100" s="405" t="s">
        <v>48</v>
      </c>
      <c r="D100" s="379"/>
    </row>
    <row r="101" spans="1:30" s="408" customFormat="1" x14ac:dyDescent="0.2">
      <c r="A101" s="379"/>
      <c r="B101" s="404" t="s">
        <v>206</v>
      </c>
      <c r="C101" s="405" t="s">
        <v>24</v>
      </c>
      <c r="D101" s="379"/>
      <c r="E101" s="379"/>
      <c r="F101" s="406"/>
      <c r="G101" s="358"/>
      <c r="H101" s="406"/>
      <c r="I101" s="406"/>
      <c r="J101" s="406"/>
      <c r="K101" s="407"/>
      <c r="L101" s="407"/>
      <c r="M101" s="407"/>
      <c r="N101" s="407"/>
      <c r="O101" s="407"/>
      <c r="P101" s="407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  <c r="AC101" s="406"/>
      <c r="AD101" s="406"/>
    </row>
    <row r="102" spans="1:30" s="408" customFormat="1" x14ac:dyDescent="0.2">
      <c r="A102" s="379"/>
      <c r="B102" s="404" t="s">
        <v>275</v>
      </c>
      <c r="C102" s="405" t="s">
        <v>48</v>
      </c>
      <c r="D102" s="379"/>
      <c r="E102" s="379"/>
      <c r="F102" s="406"/>
      <c r="G102" s="358"/>
      <c r="H102" s="406"/>
      <c r="I102" s="406"/>
      <c r="J102" s="406"/>
      <c r="K102" s="407"/>
      <c r="L102" s="407"/>
      <c r="M102" s="407"/>
      <c r="N102" s="407"/>
      <c r="O102" s="407"/>
      <c r="P102" s="407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  <c r="AA102" s="406"/>
      <c r="AB102" s="406"/>
      <c r="AC102" s="406"/>
      <c r="AD102" s="406"/>
    </row>
    <row r="103" spans="1:30" s="408" customFormat="1" x14ac:dyDescent="0.2">
      <c r="A103" s="379"/>
      <c r="B103" s="379"/>
      <c r="C103" s="370"/>
      <c r="D103" s="379"/>
      <c r="E103" s="379"/>
      <c r="F103" s="406"/>
      <c r="G103" s="358"/>
      <c r="H103" s="406"/>
      <c r="I103" s="406"/>
      <c r="J103" s="406"/>
      <c r="K103" s="407"/>
      <c r="L103" s="407"/>
      <c r="M103" s="407"/>
      <c r="N103" s="407"/>
      <c r="O103" s="407"/>
      <c r="P103" s="407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  <c r="AA103" s="406"/>
      <c r="AB103" s="406"/>
      <c r="AC103" s="406"/>
      <c r="AD103" s="406"/>
    </row>
    <row r="104" spans="1:30" s="411" customFormat="1" ht="12.75" x14ac:dyDescent="0.25">
      <c r="A104" s="410" t="s">
        <v>6</v>
      </c>
      <c r="F104" s="412"/>
      <c r="G104" s="412"/>
      <c r="H104" s="412"/>
      <c r="I104" s="412"/>
      <c r="J104" s="412"/>
      <c r="K104" s="412"/>
      <c r="L104" s="412"/>
      <c r="P104" s="412"/>
      <c r="Q104" s="413"/>
      <c r="R104" s="413"/>
    </row>
    <row r="105" spans="1:30" s="411" customFormat="1" ht="12.75" x14ac:dyDescent="0.25">
      <c r="A105" s="410"/>
      <c r="B105" s="411" t="s">
        <v>8</v>
      </c>
      <c r="C105" s="411" t="s">
        <v>9</v>
      </c>
      <c r="F105" s="412"/>
      <c r="G105" s="412"/>
      <c r="H105" s="412"/>
      <c r="I105" s="412"/>
      <c r="J105" s="412"/>
      <c r="K105" s="412"/>
      <c r="L105" s="412"/>
      <c r="P105" s="412"/>
      <c r="Q105" s="413"/>
      <c r="R105" s="413"/>
    </row>
    <row r="106" spans="1:30" s="411" customFormat="1" ht="12.75" x14ac:dyDescent="0.25">
      <c r="A106" s="410"/>
      <c r="B106" s="411" t="s">
        <v>17</v>
      </c>
      <c r="C106" s="411">
        <v>30</v>
      </c>
      <c r="F106" s="412"/>
      <c r="G106" s="412"/>
      <c r="H106" s="412"/>
      <c r="I106" s="412"/>
      <c r="J106" s="412"/>
      <c r="K106" s="412"/>
      <c r="L106" s="412"/>
      <c r="P106" s="412"/>
      <c r="Q106" s="413"/>
      <c r="R106" s="413"/>
    </row>
    <row r="107" spans="1:30" s="411" customFormat="1" ht="12.75" x14ac:dyDescent="0.25">
      <c r="A107" s="410"/>
      <c r="B107" s="361" t="s">
        <v>156</v>
      </c>
      <c r="C107" s="364" t="s">
        <v>92</v>
      </c>
      <c r="F107" s="412"/>
      <c r="G107" s="412"/>
      <c r="H107" s="412"/>
      <c r="I107" s="412"/>
      <c r="J107" s="412"/>
      <c r="K107" s="412"/>
      <c r="L107" s="412"/>
      <c r="P107" s="412"/>
      <c r="Q107" s="413"/>
      <c r="R107" s="413"/>
    </row>
    <row r="108" spans="1:30" s="411" customFormat="1" ht="12.75" x14ac:dyDescent="0.25">
      <c r="A108" s="410"/>
      <c r="B108" s="361" t="s">
        <v>158</v>
      </c>
      <c r="C108" s="362" t="s">
        <v>92</v>
      </c>
      <c r="F108" s="412"/>
      <c r="G108" s="412"/>
      <c r="H108" s="412"/>
      <c r="I108" s="412"/>
      <c r="J108" s="412"/>
      <c r="K108" s="412"/>
      <c r="L108" s="412"/>
      <c r="P108" s="412"/>
      <c r="Q108" s="413"/>
      <c r="R108" s="413"/>
    </row>
    <row r="109" spans="1:30" x14ac:dyDescent="0.2">
      <c r="B109" s="358" t="s">
        <v>167</v>
      </c>
      <c r="C109" s="358">
        <v>100</v>
      </c>
    </row>
    <row r="110" spans="1:30" s="411" customFormat="1" ht="12.75" x14ac:dyDescent="0.25">
      <c r="A110" s="410"/>
      <c r="B110" s="361" t="s">
        <v>149</v>
      </c>
      <c r="C110" s="414">
        <v>0.2</v>
      </c>
      <c r="F110" s="412"/>
      <c r="G110" s="412"/>
      <c r="H110" s="412"/>
      <c r="I110" s="412"/>
      <c r="J110" s="412"/>
      <c r="K110" s="412"/>
      <c r="L110" s="412"/>
      <c r="P110" s="412"/>
      <c r="Q110" s="413"/>
      <c r="R110" s="413"/>
    </row>
    <row r="111" spans="1:30" s="411" customFormat="1" ht="12.75" x14ac:dyDescent="0.25">
      <c r="A111" s="410"/>
      <c r="B111" s="361" t="s">
        <v>150</v>
      </c>
      <c r="C111" s="414">
        <v>0.2</v>
      </c>
      <c r="D111" s="415"/>
      <c r="F111" s="412"/>
      <c r="G111" s="412"/>
      <c r="H111" s="412"/>
      <c r="I111" s="412"/>
      <c r="J111" s="412"/>
      <c r="K111" s="412"/>
      <c r="L111" s="412"/>
      <c r="P111" s="412"/>
      <c r="Q111" s="413"/>
      <c r="R111" s="413"/>
    </row>
    <row r="112" spans="1:30" x14ac:dyDescent="0.2">
      <c r="A112" s="358" t="s">
        <v>7</v>
      </c>
    </row>
  </sheetData>
  <pageMargins left="0.25" right="0.25" top="1" bottom="0.5" header="0.5" footer="0.32500000000000001"/>
  <pageSetup scale="10" fitToHeight="8" orientation="landscape" horizontalDpi="355" r:id="rId1"/>
  <headerFooter alignWithMargins="0">
    <oddHeader>&amp;C&amp;F</oddHeader>
    <oddFooter>&amp;CPage &amp;P of &amp;N</oddFooter>
  </headerFooter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STACKER START</vt:lpstr>
      <vt:lpstr>NEW FILE</vt:lpstr>
      <vt:lpstr>Safe Start</vt:lpstr>
      <vt:lpstr>Acc Break In</vt:lpstr>
      <vt:lpstr>Shorting-5point</vt:lpstr>
      <vt:lpstr>Gen II RHS</vt:lpstr>
      <vt:lpstr>HAD - GAMRY</vt:lpstr>
      <vt:lpstr>Break In</vt:lpstr>
      <vt:lpstr>Voltage Recovery</vt:lpstr>
      <vt:lpstr>O2</vt:lpstr>
      <vt:lpstr>FCPM</vt:lpstr>
      <vt:lpstr>Wet FCPM</vt:lpstr>
      <vt:lpstr>LowPqual</vt:lpstr>
      <vt:lpstr>Gen2pt2</vt:lpstr>
      <vt:lpstr>Dry FCPMqual</vt:lpstr>
      <vt:lpstr>Shutdown</vt:lpstr>
      <vt:lpstr>Anode HAD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2026-10-28T16:56:58Z</dcterms:created>
  <dcterms:modified xsi:type="dcterms:W3CDTF">2026-10-28T16:59:05Z</dcterms:modified>
</cp:coreProperties>
</file>